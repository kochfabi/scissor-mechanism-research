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tmdacjp-my.sharepoint.com/personal/koch_f_f64c_m_isct_ac_jp/Documents/Documents/4-Software/data/2026-05-27_12-49-12_DesignValidationTest/"/>
    </mc:Choice>
  </mc:AlternateContent>
  <xr:revisionPtr revIDLastSave="7" documentId="11_F25DC773A252ABDACC10488D295E6C425BDE58E5" xr6:coauthVersionLast="47" xr6:coauthVersionMax="47" xr10:uidLastSave="{892FDB23-80EE-423F-A3D1-36C9F01140C7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4" i="1" l="1"/>
  <c r="E55" i="1"/>
  <c r="E56" i="1"/>
  <c r="E58" i="1"/>
  <c r="E59" i="1"/>
  <c r="E60" i="1"/>
  <c r="E61" i="1"/>
  <c r="E65" i="1" s="1"/>
  <c r="E62" i="1"/>
  <c r="E63" i="1"/>
  <c r="E57" i="1"/>
  <c r="L54" i="1"/>
  <c r="L65" i="1" s="1"/>
  <c r="L55" i="1"/>
  <c r="L56" i="1"/>
  <c r="L57" i="1"/>
  <c r="L58" i="1"/>
  <c r="L59" i="1"/>
  <c r="L60" i="1"/>
  <c r="L61" i="1"/>
  <c r="L62" i="1"/>
  <c r="L63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K57" i="1"/>
  <c r="K58" i="1"/>
  <c r="K56" i="1"/>
  <c r="K55" i="1"/>
  <c r="K59" i="1"/>
  <c r="K60" i="1"/>
  <c r="K61" i="1"/>
  <c r="K62" i="1"/>
  <c r="K63" i="1"/>
  <c r="J60" i="1"/>
  <c r="J56" i="1"/>
  <c r="K54" i="1"/>
  <c r="J61" i="1"/>
  <c r="J62" i="1"/>
  <c r="J63" i="1"/>
  <c r="J64" i="1"/>
  <c r="J59" i="1"/>
  <c r="J57" i="1"/>
  <c r="J58" i="1"/>
  <c r="J55" i="1"/>
</calcChain>
</file>

<file path=xl/sharedStrings.xml><?xml version="1.0" encoding="utf-8"?>
<sst xmlns="http://schemas.openxmlformats.org/spreadsheetml/2006/main" count="42" uniqueCount="24">
  <si>
    <t># title</t>
  </si>
  <si>
    <t>DesignValidationTest</t>
  </si>
  <si>
    <t># notes</t>
  </si>
  <si>
    <t>second test to check setup using a higher opening angle offset length</t>
  </si>
  <si>
    <t># independent_variable</t>
  </si>
  <si>
    <t>F_in [g]</t>
  </si>
  <si>
    <t># F_in</t>
  </si>
  <si>
    <t xml:space="preserve"> g</t>
  </si>
  <si>
    <t># l_offset</t>
  </si>
  <si>
    <t># n_units</t>
  </si>
  <si>
    <t># l_curve</t>
  </si>
  <si>
    <t>trial</t>
  </si>
  <si>
    <t>F_in</t>
  </si>
  <si>
    <t>mean_force_g</t>
  </si>
  <si>
    <t>std_force_g</t>
  </si>
  <si>
    <t>epsilon</t>
  </si>
  <si>
    <t>n_samples</t>
  </si>
  <si>
    <t>first test to check setup, look for hysteresis and consistency</t>
  </si>
  <si>
    <t>la up</t>
  </si>
  <si>
    <t>la down</t>
  </si>
  <si>
    <t>ha up</t>
  </si>
  <si>
    <t>ha down</t>
  </si>
  <si>
    <t>weight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</si>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</sst>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high</a:t>
            </a:r>
            <a:r>
              <a:rPr lang="en-GB" baseline="0"/>
              <a:t> opening angle (low l_offset)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Sheet1!$C$9</c:f>
              <c:strCache>
                <c:ptCount val="1"/>
                <c:pt idx="0">
                  <c:v>mean_force_g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Sheet1!$B$10:$B$49</c:f>
              <c:numCache>
                <c:formatCode>General</c:formatCode>
                <c:ptCount val="4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900</c:v>
                </c:pt>
                <c:pt idx="11">
                  <c:v>800</c:v>
                </c:pt>
                <c:pt idx="12">
                  <c:v>700</c:v>
                </c:pt>
                <c:pt idx="13">
                  <c:v>600</c:v>
                </c:pt>
                <c:pt idx="14">
                  <c:v>500</c:v>
                </c:pt>
                <c:pt idx="15">
                  <c:v>400</c:v>
                </c:pt>
                <c:pt idx="16">
                  <c:v>300</c:v>
                </c:pt>
                <c:pt idx="17">
                  <c:v>200</c:v>
                </c:pt>
                <c:pt idx="18">
                  <c:v>100</c:v>
                </c:pt>
                <c:pt idx="19">
                  <c:v>0</c:v>
                </c:pt>
                <c:pt idx="20">
                  <c:v>100</c:v>
                </c:pt>
                <c:pt idx="21">
                  <c:v>200</c:v>
                </c:pt>
                <c:pt idx="22">
                  <c:v>300</c:v>
                </c:pt>
                <c:pt idx="23">
                  <c:v>400</c:v>
                </c:pt>
                <c:pt idx="24">
                  <c:v>500</c:v>
                </c:pt>
                <c:pt idx="25">
                  <c:v>400</c:v>
                </c:pt>
                <c:pt idx="26">
                  <c:v>300</c:v>
                </c:pt>
                <c:pt idx="27">
                  <c:v>200</c:v>
                </c:pt>
                <c:pt idx="28">
                  <c:v>100</c:v>
                </c:pt>
                <c:pt idx="29">
                  <c:v>0</c:v>
                </c:pt>
                <c:pt idx="30">
                  <c:v>100</c:v>
                </c:pt>
                <c:pt idx="31">
                  <c:v>200</c:v>
                </c:pt>
                <c:pt idx="32">
                  <c:v>300</c:v>
                </c:pt>
                <c:pt idx="33">
                  <c:v>400</c:v>
                </c:pt>
                <c:pt idx="34">
                  <c:v>500</c:v>
                </c:pt>
                <c:pt idx="35">
                  <c:v>400</c:v>
                </c:pt>
                <c:pt idx="36">
                  <c:v>300</c:v>
                </c:pt>
                <c:pt idx="37">
                  <c:v>200</c:v>
                </c:pt>
                <c:pt idx="38">
                  <c:v>100</c:v>
                </c:pt>
                <c:pt idx="39">
                  <c:v>0</c:v>
                </c:pt>
              </c:numCache>
            </c:numRef>
          </c:xVal>
          <c:yVal>
            <c:numRef>
              <c:f>Sheet1!$C$10:$C$49</c:f>
              <c:numCache>
                <c:formatCode>General</c:formatCode>
                <c:ptCount val="40"/>
                <c:pt idx="0">
                  <c:v>87.9255142857142</c:v>
                </c:pt>
                <c:pt idx="1">
                  <c:v>183.14568285714199</c:v>
                </c:pt>
                <c:pt idx="2">
                  <c:v>280.80813714285699</c:v>
                </c:pt>
                <c:pt idx="3">
                  <c:v>386.34608285714199</c:v>
                </c:pt>
                <c:pt idx="4">
                  <c:v>472.86911428571398</c:v>
                </c:pt>
                <c:pt idx="5">
                  <c:v>560.43519714285696</c:v>
                </c:pt>
                <c:pt idx="6">
                  <c:v>660.11163714285703</c:v>
                </c:pt>
                <c:pt idx="7">
                  <c:v>751.01487428571397</c:v>
                </c:pt>
                <c:pt idx="8">
                  <c:v>846.83820571428498</c:v>
                </c:pt>
                <c:pt idx="9">
                  <c:v>948.39481428571401</c:v>
                </c:pt>
                <c:pt idx="10">
                  <c:v>869.02027142857105</c:v>
                </c:pt>
                <c:pt idx="11">
                  <c:v>788.11281142857104</c:v>
                </c:pt>
                <c:pt idx="12">
                  <c:v>689.67056285714295</c:v>
                </c:pt>
                <c:pt idx="13">
                  <c:v>602.53718285714206</c:v>
                </c:pt>
                <c:pt idx="14">
                  <c:v>499.44999999999902</c:v>
                </c:pt>
                <c:pt idx="15">
                  <c:v>401.18721714285698</c:v>
                </c:pt>
                <c:pt idx="16">
                  <c:v>304.12187714285699</c:v>
                </c:pt>
                <c:pt idx="17">
                  <c:v>202.473802857142</c:v>
                </c:pt>
                <c:pt idx="18">
                  <c:v>101.219925714285</c:v>
                </c:pt>
                <c:pt idx="19">
                  <c:v>4.1534457142857102</c:v>
                </c:pt>
                <c:pt idx="20">
                  <c:v>86.944879999999998</c:v>
                </c:pt>
                <c:pt idx="21">
                  <c:v>189.65181428571401</c:v>
                </c:pt>
                <c:pt idx="22">
                  <c:v>280.72691142857099</c:v>
                </c:pt>
                <c:pt idx="23">
                  <c:v>377.13458571428498</c:v>
                </c:pt>
                <c:pt idx="24">
                  <c:v>469.13181142857098</c:v>
                </c:pt>
                <c:pt idx="25">
                  <c:v>389.45200285714202</c:v>
                </c:pt>
                <c:pt idx="26">
                  <c:v>290.832682857142</c:v>
                </c:pt>
                <c:pt idx="27">
                  <c:v>198.94173142857099</c:v>
                </c:pt>
                <c:pt idx="28">
                  <c:v>96.319791428571406</c:v>
                </c:pt>
                <c:pt idx="29">
                  <c:v>3.1702085714285699</c:v>
                </c:pt>
                <c:pt idx="30">
                  <c:v>86.706308571428494</c:v>
                </c:pt>
                <c:pt idx="31">
                  <c:v>186.56649428571399</c:v>
                </c:pt>
                <c:pt idx="32">
                  <c:v>284.65937999999898</c:v>
                </c:pt>
                <c:pt idx="33">
                  <c:v>379.68647428571398</c:v>
                </c:pt>
                <c:pt idx="34">
                  <c:v>472.14920285714197</c:v>
                </c:pt>
                <c:pt idx="35">
                  <c:v>390.67919142857102</c:v>
                </c:pt>
                <c:pt idx="36">
                  <c:v>295.98942857142799</c:v>
                </c:pt>
                <c:pt idx="37">
                  <c:v>197.25372857142801</c:v>
                </c:pt>
                <c:pt idx="38">
                  <c:v>100.45742571428499</c:v>
                </c:pt>
                <c:pt idx="39">
                  <c:v>2.8479085714285701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55-44B3-AE28-DCCF8286A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125407"/>
        <c:axId val="429125887"/>
      </c:scatterChart>
      <c:valAx>
        <c:axId val="429125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125887"/>
        <c:crosses val="autoZero"/>
        <c:crossBetween val="midCat"/>
      </c:valAx>
      <c:valAx>
        <c:axId val="42912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125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low opening</a:t>
            </a:r>
            <a:r>
              <a:rPr lang="en-GB" baseline="0"/>
              <a:t> angle (high l_offset)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Sheet1!$I$9:$I$50</c:f>
              <c:numCache>
                <c:formatCode>General</c:formatCode>
                <c:ptCount val="42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900</c:v>
                </c:pt>
                <c:pt idx="12">
                  <c:v>800</c:v>
                </c:pt>
                <c:pt idx="13">
                  <c:v>700</c:v>
                </c:pt>
                <c:pt idx="14">
                  <c:v>600</c:v>
                </c:pt>
                <c:pt idx="15">
                  <c:v>500</c:v>
                </c:pt>
                <c:pt idx="16">
                  <c:v>400</c:v>
                </c:pt>
                <c:pt idx="17">
                  <c:v>300</c:v>
                </c:pt>
                <c:pt idx="18">
                  <c:v>200</c:v>
                </c:pt>
                <c:pt idx="19">
                  <c:v>100</c:v>
                </c:pt>
                <c:pt idx="20">
                  <c:v>0</c:v>
                </c:pt>
                <c:pt idx="21">
                  <c:v>100</c:v>
                </c:pt>
                <c:pt idx="22">
                  <c:v>200</c:v>
                </c:pt>
                <c:pt idx="23">
                  <c:v>300</c:v>
                </c:pt>
                <c:pt idx="24">
                  <c:v>400</c:v>
                </c:pt>
                <c:pt idx="25">
                  <c:v>500</c:v>
                </c:pt>
                <c:pt idx="26">
                  <c:v>400</c:v>
                </c:pt>
                <c:pt idx="27">
                  <c:v>300</c:v>
                </c:pt>
                <c:pt idx="28">
                  <c:v>200</c:v>
                </c:pt>
                <c:pt idx="29">
                  <c:v>100</c:v>
                </c:pt>
                <c:pt idx="30">
                  <c:v>0</c:v>
                </c:pt>
                <c:pt idx="31">
                  <c:v>100</c:v>
                </c:pt>
                <c:pt idx="32">
                  <c:v>200</c:v>
                </c:pt>
                <c:pt idx="33">
                  <c:v>300</c:v>
                </c:pt>
                <c:pt idx="34">
                  <c:v>400</c:v>
                </c:pt>
                <c:pt idx="35">
                  <c:v>500</c:v>
                </c:pt>
                <c:pt idx="36">
                  <c:v>400</c:v>
                </c:pt>
                <c:pt idx="37">
                  <c:v>300</c:v>
                </c:pt>
                <c:pt idx="38">
                  <c:v>200</c:v>
                </c:pt>
                <c:pt idx="39">
                  <c:v>100</c:v>
                </c:pt>
                <c:pt idx="40">
                  <c:v>0</c:v>
                </c:pt>
                <c:pt idx="41">
                  <c:v>0</c:v>
                </c:pt>
              </c:numCache>
            </c:numRef>
          </c:xVal>
          <c:yVal>
            <c:numRef>
              <c:f>Sheet1!$J$9:$J$50</c:f>
              <c:numCache>
                <c:formatCode>General</c:formatCode>
                <c:ptCount val="42"/>
                <c:pt idx="0">
                  <c:v>1.02903999999999</c:v>
                </c:pt>
                <c:pt idx="1">
                  <c:v>89.066788571428503</c:v>
                </c:pt>
                <c:pt idx="2">
                  <c:v>184.85863714285699</c:v>
                </c:pt>
                <c:pt idx="3">
                  <c:v>285.58631714285701</c:v>
                </c:pt>
                <c:pt idx="4">
                  <c:v>380.70628285714201</c:v>
                </c:pt>
                <c:pt idx="5">
                  <c:v>481.741854285714</c:v>
                </c:pt>
                <c:pt idx="6">
                  <c:v>580.37692571428499</c:v>
                </c:pt>
                <c:pt idx="7">
                  <c:v>680.46585428571404</c:v>
                </c:pt>
                <c:pt idx="8">
                  <c:v>770.25654571428504</c:v>
                </c:pt>
                <c:pt idx="9">
                  <c:v>868.92632857142803</c:v>
                </c:pt>
                <c:pt idx="10">
                  <c:v>972.09868857142806</c:v>
                </c:pt>
                <c:pt idx="11">
                  <c:v>885.36680571428496</c:v>
                </c:pt>
                <c:pt idx="12">
                  <c:v>795.70182</c:v>
                </c:pt>
                <c:pt idx="13">
                  <c:v>700.67205714285706</c:v>
                </c:pt>
                <c:pt idx="14">
                  <c:v>599.12627142857104</c:v>
                </c:pt>
                <c:pt idx="15">
                  <c:v>503.367508571428</c:v>
                </c:pt>
                <c:pt idx="16">
                  <c:v>408.601114285714</c:v>
                </c:pt>
                <c:pt idx="17">
                  <c:v>305.53157714285697</c:v>
                </c:pt>
                <c:pt idx="18">
                  <c:v>208.705162857142</c:v>
                </c:pt>
                <c:pt idx="19">
                  <c:v>111.485634285714</c:v>
                </c:pt>
                <c:pt idx="20">
                  <c:v>13.006354285714201</c:v>
                </c:pt>
                <c:pt idx="21">
                  <c:v>99.127174285714204</c:v>
                </c:pt>
                <c:pt idx="22">
                  <c:v>191.88556571428501</c:v>
                </c:pt>
                <c:pt idx="23">
                  <c:v>291.06325999999899</c:v>
                </c:pt>
                <c:pt idx="24">
                  <c:v>390.18274857142802</c:v>
                </c:pt>
                <c:pt idx="25">
                  <c:v>490.57620285714199</c:v>
                </c:pt>
                <c:pt idx="26">
                  <c:v>400.78786571428498</c:v>
                </c:pt>
                <c:pt idx="27">
                  <c:v>300.25209999999998</c:v>
                </c:pt>
                <c:pt idx="28">
                  <c:v>204.107777142857</c:v>
                </c:pt>
                <c:pt idx="29">
                  <c:v>106.195597142857</c:v>
                </c:pt>
                <c:pt idx="30">
                  <c:v>12.713768571428499</c:v>
                </c:pt>
                <c:pt idx="31">
                  <c:v>95.163565714285696</c:v>
                </c:pt>
                <c:pt idx="32">
                  <c:v>193.06261714285699</c:v>
                </c:pt>
                <c:pt idx="33">
                  <c:v>290.698534285714</c:v>
                </c:pt>
                <c:pt idx="34">
                  <c:v>391.80069714285702</c:v>
                </c:pt>
                <c:pt idx="35">
                  <c:v>488.11578857142803</c:v>
                </c:pt>
                <c:pt idx="36">
                  <c:v>396.78982285714198</c:v>
                </c:pt>
                <c:pt idx="37">
                  <c:v>305.38583999999997</c:v>
                </c:pt>
                <c:pt idx="38">
                  <c:v>205.8175</c:v>
                </c:pt>
                <c:pt idx="39">
                  <c:v>104.80224285714201</c:v>
                </c:pt>
                <c:pt idx="40">
                  <c:v>12.979322857142799</c:v>
                </c:pt>
                <c:pt idx="41">
                  <c:v>-2.5883714285714201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05-4A16-8D5D-416744766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083487"/>
        <c:axId val="2075953615"/>
      </c:scatterChart>
      <c:valAx>
        <c:axId val="428083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953615"/>
        <c:crosses val="autoZero"/>
        <c:crossBetween val="midCat"/>
      </c:valAx>
      <c:valAx>
        <c:axId val="207595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083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Sheet1!$J$53</c:f>
              <c:strCache>
                <c:ptCount val="1"/>
                <c:pt idx="0">
                  <c:v>la up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Sheet1!$I$54:$I$64</c:f>
              <c:numCache>
                <c:formatCode>General</c:formatCode>
                <c:ptCount val="1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</c:numCache>
            </c:numRef>
          </c:xVal>
          <c:yVal>
            <c:numRef>
              <c:f>Sheet1!$J$54:$J$64</c:f>
              <c:numCache>
                <c:formatCode>General</c:formatCode>
                <c:ptCount val="11"/>
                <c:pt idx="1">
                  <c:v>94.452509523809468</c:v>
                </c:pt>
                <c:pt idx="2">
                  <c:v>189.93560666666633</c:v>
                </c:pt>
                <c:pt idx="3">
                  <c:v>289.11603714285667</c:v>
                </c:pt>
                <c:pt idx="4">
                  <c:v>387.56324285714237</c:v>
                </c:pt>
                <c:pt idx="5">
                  <c:v>486.8112819047613</c:v>
                </c:pt>
                <c:pt idx="6">
                  <c:v>580.37692571428499</c:v>
                </c:pt>
                <c:pt idx="7">
                  <c:v>680.46585428571404</c:v>
                </c:pt>
                <c:pt idx="8">
                  <c:v>770.25654571428504</c:v>
                </c:pt>
                <c:pt idx="9">
                  <c:v>868.92632857142803</c:v>
                </c:pt>
                <c:pt idx="10">
                  <c:v>972.09868857142806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5F-4FEB-ACB8-40610A4A2741}"/>
            </c:ext>
          </c:extLst>
        </c:ser>
        <c:ser>
          <c:idx val="1"/>
          <c:order val="1"/>
          <c:tx>
            <c:strRef>
              <c:f>Sheet1!$K$53</c:f>
              <c:strCache>
                <c:ptCount val="1"/>
                <c:pt idx="0">
                  <c:v>la down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Sheet1!$I$54:$I$64</c:f>
              <c:numCache>
                <c:formatCode>General</c:formatCode>
                <c:ptCount val="1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</c:numCache>
            </c:numRef>
          </c:xVal>
          <c:yVal>
            <c:numRef>
              <c:f>Sheet1!$K$54:$K$64</c:f>
              <c:numCache>
                <c:formatCode>General</c:formatCode>
                <c:ptCount val="11"/>
                <c:pt idx="0">
                  <c:v>12.899815238095165</c:v>
                </c:pt>
                <c:pt idx="1">
                  <c:v>107.494491428571</c:v>
                </c:pt>
                <c:pt idx="2">
                  <c:v>206.21014666666633</c:v>
                </c:pt>
                <c:pt idx="3">
                  <c:v>303.72317238095229</c:v>
                </c:pt>
                <c:pt idx="4">
                  <c:v>402.05960095238032</c:v>
                </c:pt>
                <c:pt idx="5">
                  <c:v>503.367508571428</c:v>
                </c:pt>
                <c:pt idx="6">
                  <c:v>599.12627142857104</c:v>
                </c:pt>
                <c:pt idx="7">
                  <c:v>700.67205714285706</c:v>
                </c:pt>
                <c:pt idx="8">
                  <c:v>795.70182</c:v>
                </c:pt>
                <c:pt idx="9">
                  <c:v>885.36680571428496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C5F-4FEB-ACB8-40610A4A2741}"/>
            </c:ext>
          </c:extLst>
        </c:ser>
        <c:ser>
          <c:idx val="2"/>
          <c:order val="2"/>
          <c:tx>
            <c:strRef>
              <c:f>Sheet1!$D$53</c:f>
              <c:strCache>
                <c:ptCount val="1"/>
                <c:pt idx="0">
                  <c:v>ha down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Sheet1!$B$54:$B$64</c:f>
              <c:numCache>
                <c:formatCode>General</c:formatCode>
                <c:ptCount val="1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</c:numCache>
            </c:numRef>
          </c:xVal>
          <c:yVal>
            <c:numRef>
              <c:f>Sheet1!$D$54:$D$64</c:f>
              <c:numCache>
                <c:formatCode>General</c:formatCode>
                <c:ptCount val="11"/>
                <c:pt idx="0">
                  <c:v>3.3905209523809501</c:v>
                </c:pt>
                <c:pt idx="1">
                  <c:v>99.332380952380461</c:v>
                </c:pt>
                <c:pt idx="2">
                  <c:v>199.55642095238034</c:v>
                </c:pt>
                <c:pt idx="3">
                  <c:v>296.98132952380899</c:v>
                </c:pt>
                <c:pt idx="4">
                  <c:v>393.77280380952334</c:v>
                </c:pt>
                <c:pt idx="5">
                  <c:v>499.44999999999902</c:v>
                </c:pt>
                <c:pt idx="6">
                  <c:v>602.53718285714206</c:v>
                </c:pt>
                <c:pt idx="7">
                  <c:v>689.67056285714295</c:v>
                </c:pt>
                <c:pt idx="8">
                  <c:v>788.11281142857104</c:v>
                </c:pt>
                <c:pt idx="9">
                  <c:v>869.02027142857105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C5F-4FEB-ACB8-40610A4A2741}"/>
            </c:ext>
          </c:extLst>
        </c:ser>
        <c:ser>
          <c:idx val="3"/>
          <c:order val="3"/>
          <c:tx>
            <c:strRef>
              <c:f>Sheet1!$C$53</c:f>
              <c:strCache>
                <c:ptCount val="1"/>
                <c:pt idx="0">
                  <c:v>ha up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Sheet1!$B$54:$B$64</c:f>
              <c:numCache>
                <c:formatCode>General</c:formatCode>
                <c:ptCount val="1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</c:numCache>
            </c:numRef>
          </c:xVal>
          <c:yVal>
            <c:numRef>
              <c:f>Sheet1!$C$54:$C$64</c:f>
              <c:numCache>
                <c:formatCode>General</c:formatCode>
                <c:ptCount val="11"/>
                <c:pt idx="1">
                  <c:v>87.192234285714221</c:v>
                </c:pt>
                <c:pt idx="2">
                  <c:v>186.45466380952334</c:v>
                </c:pt>
                <c:pt idx="3">
                  <c:v>282.06480952380895</c:v>
                </c:pt>
                <c:pt idx="4">
                  <c:v>381.05571428571369</c:v>
                </c:pt>
                <c:pt idx="5">
                  <c:v>471.38337619047564</c:v>
                </c:pt>
                <c:pt idx="6">
                  <c:v>560.43519714285696</c:v>
                </c:pt>
                <c:pt idx="7">
                  <c:v>660.11163714285703</c:v>
                </c:pt>
                <c:pt idx="8">
                  <c:v>751.01487428571397</c:v>
                </c:pt>
                <c:pt idx="9">
                  <c:v>846.83820571428498</c:v>
                </c:pt>
                <c:pt idx="10">
                  <c:v>948.39481428571401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C5F-4FEB-ACB8-40610A4A2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085519"/>
        <c:axId val="585087919"/>
      </c:scatterChart>
      <c:valAx>
        <c:axId val="585085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087919"/>
        <c:crosses val="autoZero"/>
        <c:crossBetween val="midCat"/>
      </c:valAx>
      <c:valAx>
        <c:axId val="58508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085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374277</xdr:colOff>
      <xdr:row>67</xdr:row>
      <xdr:rowOff>120743</xdr:rowOff>
    </xdr:from>
    <xdr:to>
      <xdr:col>7</xdr:col>
      <xdr:colOff>240927</xdr:colOff>
      <xdr:row>82</xdr:row>
      <xdr:rowOff>6443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5F5F00-840C-A9A0-E1EE-1D12DC6CDA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93569</xdr:colOff>
      <xdr:row>67</xdr:row>
      <xdr:rowOff>93848</xdr:rowOff>
    </xdr:from>
    <xdr:to>
      <xdr:col>14</xdr:col>
      <xdr:colOff>565336</xdr:colOff>
      <xdr:row>81</xdr:row>
      <xdr:rowOff>170048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2AA14D-CE88-4439-E929-008199BB4D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1009297</xdr:colOff>
      <xdr:row>83</xdr:row>
      <xdr:rowOff>33505</xdr:rowOff>
    </xdr:from>
    <xdr:to>
      <xdr:col>13</xdr:col>
      <xdr:colOff>314741</xdr:colOff>
      <xdr:row>125</xdr:row>
      <xdr:rowOff>41412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E8A5538-21D0-C671-B741-D40CCD25C0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ADAEE5-FA7E-4392-BB79-51E9DA912261}" name="Table1" displayName="Table1" ref="B9:C49" totalsRowShown="0">
  <autoFilter ref="B9:C49" xr:uid="{5BADAEE5-FA7E-4392-BB79-51E9DA912261}"/>
  <tableColumns count="2">
    <tableColumn id="1" xr3:uid="{4F8DF18F-8531-4494-B9AB-39A0D1E69511}" name="F_in"/>
    <tableColumn id="2" xr3:uid="{45D4BF75-56F0-4C8B-848A-CD6700601441}" name="mean_force_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7E72AA-AE2F-47DB-BAF5-65091EC7E976}" name="Table2" displayName="Table2" ref="I8:J50" totalsRowShown="0">
  <autoFilter ref="I8:J50" xr:uid="{C77E72AA-AE2F-47DB-BAF5-65091EC7E976}"/>
  <tableColumns count="2">
    <tableColumn id="1" xr3:uid="{92E09473-F49C-4A0D-816A-ED22B4FCBCC0}" name="F_in"/>
    <tableColumn id="2" xr3:uid="{A854446B-3408-498E-BFEF-F47A888CA1AD}" name="mean_force_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C8D969-6A69-49A3-B4CF-6EC3E9290E7B}" name="Table3" displayName="Table3" ref="I53:L65" totalsRowCount="1">
  <autoFilter ref="I53:L64" xr:uid="{1EC8D969-6A69-49A3-B4CF-6EC3E9290E7B}"/>
  <tableColumns count="4">
    <tableColumn id="1" xr3:uid="{1B00CCC4-550C-4FD4-8A36-5A91A8686103}" name="weight"/>
    <tableColumn id="2" xr3:uid="{7ADCD702-97DD-4335-9CD7-FF2221DB1CF4}" name="la up">
      <calculatedColumnFormula>J9</calculatedColumnFormula>
    </tableColumn>
    <tableColumn id="3" xr3:uid="{9E48FF01-288D-4091-8AF7-C66F3920D78A}" name="la down"/>
    <tableColumn id="4" xr3:uid="{7D4B77C0-D986-47A1-A105-E02B8DDD7344}" name="difference" totalsRowFunction="custom" dataDxfId="3" totalsRowDxfId="1">
      <calculatedColumnFormula>Table3[[#This Row],[la down]]-Table3[[#This Row],[la up]]</calculatedColumnFormula>
      <totalsRowFormula>AVERAGE(Table3[difference])</totalsRow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1B3FA38-F960-4893-844D-488F15F0F431}" name="Table4" displayName="Table4" ref="B53:E65" totalsRowCount="1">
  <autoFilter ref="B53:E64" xr:uid="{71B3FA38-F960-4893-844D-488F15F0F431}"/>
  <tableColumns count="4">
    <tableColumn id="1" xr3:uid="{95713465-0F35-4822-8C42-3B61DB6BECDF}" name="weight"/>
    <tableColumn id="2" xr3:uid="{447AB9DF-A739-4820-8764-2F215FA371A5}" name="ha up">
      <calculatedColumnFormula>C9</calculatedColumnFormula>
    </tableColumn>
    <tableColumn id="3" xr3:uid="{E4C7F859-5F23-4C55-8102-76701422167D}" name="ha down"/>
    <tableColumn id="4" xr3:uid="{B3BF8FAD-8002-404B-BA60-5C24E59BD9A6}" name="difference" totalsRowFunction="custom" dataDxfId="2" totalsRowDxfId="0">
      <calculatedColumnFormula>Table3[[#This Row],[la down]]-Table3[[#This Row],[la up]]</calculatedColumnFormula>
      <totalsRowFormula>AVERAGE(Table4[difference])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topLeftCell="A40" zoomScale="85" zoomScaleNormal="85" workbookViewId="0">
      <selection activeCell="G57" sqref="G57"/>
    </sheetView>
  </sheetViews>
  <sheetFormatPr defaultRowHeight="15" x14ac:dyDescent="0.25"/>
  <cols>
    <col min="3" max="3" width="15.7109375" customWidth="1"/>
    <col min="4" max="4" width="10.28515625" customWidth="1"/>
    <col min="10" max="10" width="15.7109375" customWidth="1"/>
    <col min="11" max="11" width="9.7109375" customWidth="1"/>
  </cols>
  <sheetData>
    <row r="1" spans="1:13" x14ac:dyDescent="0.25">
      <c r="A1" t="s">
        <v>0</v>
      </c>
      <c r="B1" t="s">
        <v>1</v>
      </c>
      <c r="H1" t="s">
        <v>0</v>
      </c>
      <c r="I1" t="s">
        <v>1</v>
      </c>
    </row>
    <row r="2" spans="1:13" x14ac:dyDescent="0.25">
      <c r="A2" t="s">
        <v>2</v>
      </c>
      <c r="B2" t="s">
        <v>17</v>
      </c>
      <c r="H2" t="s">
        <v>2</v>
      </c>
      <c r="I2" t="s">
        <v>3</v>
      </c>
    </row>
    <row r="3" spans="1:13" x14ac:dyDescent="0.25">
      <c r="A3" t="s">
        <v>4</v>
      </c>
      <c r="B3" t="s">
        <v>5</v>
      </c>
      <c r="H3" t="s">
        <v>4</v>
      </c>
      <c r="I3" t="s">
        <v>5</v>
      </c>
    </row>
    <row r="4" spans="1:13" x14ac:dyDescent="0.25">
      <c r="A4" t="s">
        <v>6</v>
      </c>
      <c r="B4" t="s">
        <v>7</v>
      </c>
      <c r="H4" t="s">
        <v>6</v>
      </c>
      <c r="I4" t="s">
        <v>7</v>
      </c>
    </row>
    <row r="5" spans="1:13" x14ac:dyDescent="0.25">
      <c r="A5" t="s">
        <v>8</v>
      </c>
      <c r="B5">
        <v>0</v>
      </c>
      <c r="H5" t="s">
        <v>8</v>
      </c>
      <c r="I5">
        <v>24</v>
      </c>
    </row>
    <row r="6" spans="1:13" x14ac:dyDescent="0.25">
      <c r="A6" t="s">
        <v>9</v>
      </c>
      <c r="B6">
        <v>1</v>
      </c>
      <c r="H6" t="s">
        <v>9</v>
      </c>
      <c r="I6">
        <v>1</v>
      </c>
    </row>
    <row r="7" spans="1:13" x14ac:dyDescent="0.25">
      <c r="A7" t="s">
        <v>10</v>
      </c>
      <c r="B7">
        <v>0</v>
      </c>
      <c r="H7" t="s">
        <v>10</v>
      </c>
      <c r="I7">
        <v>0</v>
      </c>
    </row>
    <row r="8" spans="1:13" x14ac:dyDescent="0.25">
      <c r="H8" t="s">
        <v>11</v>
      </c>
      <c r="I8" t="s">
        <v>12</v>
      </c>
      <c r="J8" t="s">
        <v>13</v>
      </c>
      <c r="K8" t="s">
        <v>14</v>
      </c>
      <c r="L8" t="s">
        <v>15</v>
      </c>
      <c r="M8" t="s">
        <v>16</v>
      </c>
    </row>
    <row r="9" spans="1:13" x14ac:dyDescent="0.25">
      <c r="A9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H9">
        <v>1</v>
      </c>
      <c r="I9">
        <v>0</v>
      </c>
      <c r="J9">
        <v>1.02903999999999</v>
      </c>
      <c r="K9">
        <v>0.87487933662137596</v>
      </c>
      <c r="M9">
        <v>35</v>
      </c>
    </row>
    <row r="10" spans="1:13" x14ac:dyDescent="0.25">
      <c r="A10">
        <v>1</v>
      </c>
      <c r="B10">
        <v>100</v>
      </c>
      <c r="C10">
        <v>87.9255142857142</v>
      </c>
      <c r="D10">
        <v>0.10374542411697101</v>
      </c>
      <c r="E10">
        <v>0.87925514285714201</v>
      </c>
      <c r="F10">
        <v>35</v>
      </c>
      <c r="H10">
        <v>2</v>
      </c>
      <c r="I10">
        <v>100</v>
      </c>
      <c r="J10">
        <v>89.066788571428503</v>
      </c>
      <c r="K10">
        <v>0.22703973838674699</v>
      </c>
      <c r="L10">
        <v>0.89066788571428501</v>
      </c>
      <c r="M10">
        <v>35</v>
      </c>
    </row>
    <row r="11" spans="1:13" x14ac:dyDescent="0.25">
      <c r="A11">
        <v>2</v>
      </c>
      <c r="B11">
        <v>200</v>
      </c>
      <c r="C11">
        <v>183.14568285714199</v>
      </c>
      <c r="D11">
        <v>9.8618043587407403E-2</v>
      </c>
      <c r="E11">
        <v>0.91572841428571405</v>
      </c>
      <c r="F11">
        <v>35</v>
      </c>
      <c r="H11">
        <v>3</v>
      </c>
      <c r="I11">
        <v>200</v>
      </c>
      <c r="J11">
        <v>184.85863714285699</v>
      </c>
      <c r="K11">
        <v>0.18390284853008401</v>
      </c>
      <c r="L11">
        <v>0.92429318571428498</v>
      </c>
      <c r="M11">
        <v>35</v>
      </c>
    </row>
    <row r="12" spans="1:13" x14ac:dyDescent="0.25">
      <c r="A12">
        <v>3</v>
      </c>
      <c r="B12">
        <v>300</v>
      </c>
      <c r="C12">
        <v>280.80813714285699</v>
      </c>
      <c r="D12">
        <v>0.22281292216950099</v>
      </c>
      <c r="E12">
        <v>0.93602712380952302</v>
      </c>
      <c r="F12">
        <v>35</v>
      </c>
      <c r="H12">
        <v>4</v>
      </c>
      <c r="I12">
        <v>300</v>
      </c>
      <c r="J12">
        <v>285.58631714285701</v>
      </c>
      <c r="K12">
        <v>0.46787539221319902</v>
      </c>
      <c r="L12">
        <v>0.95195439047619002</v>
      </c>
      <c r="M12">
        <v>35</v>
      </c>
    </row>
    <row r="13" spans="1:13" x14ac:dyDescent="0.25">
      <c r="A13">
        <v>4</v>
      </c>
      <c r="B13">
        <v>400</v>
      </c>
      <c r="C13">
        <v>386.34608285714199</v>
      </c>
      <c r="D13">
        <v>0.17943413093538599</v>
      </c>
      <c r="E13">
        <v>0.96586520714285695</v>
      </c>
      <c r="F13">
        <v>35</v>
      </c>
      <c r="H13">
        <v>5</v>
      </c>
      <c r="I13">
        <v>400</v>
      </c>
      <c r="J13">
        <v>380.70628285714201</v>
      </c>
      <c r="K13">
        <v>0.60374611068566297</v>
      </c>
      <c r="L13">
        <v>0.95176570714285702</v>
      </c>
      <c r="M13">
        <v>35</v>
      </c>
    </row>
    <row r="14" spans="1:13" x14ac:dyDescent="0.25">
      <c r="A14">
        <v>5</v>
      </c>
      <c r="B14">
        <v>500</v>
      </c>
      <c r="C14">
        <v>472.86911428571398</v>
      </c>
      <c r="D14">
        <v>0.29908740916215398</v>
      </c>
      <c r="E14">
        <v>0.94573822857142797</v>
      </c>
      <c r="F14">
        <v>35</v>
      </c>
      <c r="H14">
        <v>6</v>
      </c>
      <c r="I14">
        <v>500</v>
      </c>
      <c r="J14">
        <v>481.741854285714</v>
      </c>
      <c r="K14">
        <v>0.31333481654693901</v>
      </c>
      <c r="L14">
        <v>0.96348370857142795</v>
      </c>
      <c r="M14">
        <v>35</v>
      </c>
    </row>
    <row r="15" spans="1:13" x14ac:dyDescent="0.25">
      <c r="A15">
        <v>6</v>
      </c>
      <c r="B15">
        <v>600</v>
      </c>
      <c r="C15">
        <v>560.43519714285696</v>
      </c>
      <c r="D15">
        <v>0.35865819914665897</v>
      </c>
      <c r="E15">
        <v>0.93405866190476095</v>
      </c>
      <c r="F15">
        <v>35</v>
      </c>
      <c r="H15">
        <v>7</v>
      </c>
      <c r="I15">
        <v>600</v>
      </c>
      <c r="J15">
        <v>580.37692571428499</v>
      </c>
      <c r="K15">
        <v>0.29033047938599199</v>
      </c>
      <c r="L15">
        <v>0.96729487619047605</v>
      </c>
      <c r="M15">
        <v>35</v>
      </c>
    </row>
    <row r="16" spans="1:13" x14ac:dyDescent="0.25">
      <c r="A16">
        <v>7</v>
      </c>
      <c r="B16">
        <v>700</v>
      </c>
      <c r="C16">
        <v>660.11163714285703</v>
      </c>
      <c r="D16">
        <v>0.40587509965629498</v>
      </c>
      <c r="E16">
        <v>0.94301662448979495</v>
      </c>
      <c r="F16">
        <v>35</v>
      </c>
      <c r="H16">
        <v>8</v>
      </c>
      <c r="I16">
        <v>700</v>
      </c>
      <c r="J16">
        <v>680.46585428571404</v>
      </c>
      <c r="K16">
        <v>0.29610986568268099</v>
      </c>
      <c r="L16">
        <v>0.97209407755101995</v>
      </c>
      <c r="M16">
        <v>35</v>
      </c>
    </row>
    <row r="17" spans="1:13" x14ac:dyDescent="0.25">
      <c r="A17">
        <v>8</v>
      </c>
      <c r="B17">
        <v>800</v>
      </c>
      <c r="C17">
        <v>751.01487428571397</v>
      </c>
      <c r="D17">
        <v>0.49280672583194801</v>
      </c>
      <c r="E17">
        <v>0.93876859285714298</v>
      </c>
      <c r="F17">
        <v>35</v>
      </c>
      <c r="H17">
        <v>9</v>
      </c>
      <c r="I17">
        <v>800</v>
      </c>
      <c r="J17">
        <v>770.25654571428504</v>
      </c>
      <c r="K17">
        <v>0.856915576644387</v>
      </c>
      <c r="L17">
        <v>0.96282068214285699</v>
      </c>
      <c r="M17">
        <v>35</v>
      </c>
    </row>
    <row r="18" spans="1:13" x14ac:dyDescent="0.25">
      <c r="A18">
        <v>9</v>
      </c>
      <c r="B18">
        <v>900</v>
      </c>
      <c r="C18">
        <v>846.83820571428498</v>
      </c>
      <c r="D18">
        <v>0.36988842748850198</v>
      </c>
      <c r="E18">
        <v>0.94093133968253895</v>
      </c>
      <c r="F18">
        <v>35</v>
      </c>
      <c r="H18">
        <v>10</v>
      </c>
      <c r="I18">
        <v>900</v>
      </c>
      <c r="J18">
        <v>868.92632857142803</v>
      </c>
      <c r="K18">
        <v>0.78132910425738999</v>
      </c>
      <c r="L18">
        <v>0.96547369841269803</v>
      </c>
      <c r="M18">
        <v>35</v>
      </c>
    </row>
    <row r="19" spans="1:13" x14ac:dyDescent="0.25">
      <c r="A19">
        <v>10</v>
      </c>
      <c r="B19">
        <v>1000</v>
      </c>
      <c r="C19">
        <v>948.39481428571401</v>
      </c>
      <c r="D19">
        <v>0.48464980452406398</v>
      </c>
      <c r="E19">
        <v>0.94839481428571404</v>
      </c>
      <c r="F19">
        <v>35</v>
      </c>
      <c r="H19">
        <v>11</v>
      </c>
      <c r="I19">
        <v>1000</v>
      </c>
      <c r="J19">
        <v>972.09868857142806</v>
      </c>
      <c r="K19">
        <v>0.39754489851604302</v>
      </c>
      <c r="L19">
        <v>0.972098688571428</v>
      </c>
      <c r="M19">
        <v>35</v>
      </c>
    </row>
    <row r="20" spans="1:13" x14ac:dyDescent="0.25">
      <c r="A20">
        <v>11</v>
      </c>
      <c r="B20">
        <v>900</v>
      </c>
      <c r="C20">
        <v>869.02027142857105</v>
      </c>
      <c r="D20">
        <v>7.7000139692105493E-2</v>
      </c>
      <c r="E20">
        <v>0.965578079365079</v>
      </c>
      <c r="F20">
        <v>35</v>
      </c>
      <c r="H20">
        <v>12</v>
      </c>
      <c r="I20">
        <v>900</v>
      </c>
      <c r="J20">
        <v>885.36680571428496</v>
      </c>
      <c r="K20">
        <v>0.45247851683995099</v>
      </c>
      <c r="L20">
        <v>0.98374089523809505</v>
      </c>
      <c r="M20">
        <v>35</v>
      </c>
    </row>
    <row r="21" spans="1:13" x14ac:dyDescent="0.25">
      <c r="A21">
        <v>12</v>
      </c>
      <c r="B21">
        <v>800</v>
      </c>
      <c r="C21">
        <v>788.11281142857104</v>
      </c>
      <c r="D21">
        <v>0.178705319008749</v>
      </c>
      <c r="E21">
        <v>0.98514101428571399</v>
      </c>
      <c r="F21">
        <v>35</v>
      </c>
      <c r="H21">
        <v>13</v>
      </c>
      <c r="I21">
        <v>800</v>
      </c>
      <c r="J21">
        <v>795.70182</v>
      </c>
      <c r="K21">
        <v>0.342263805891796</v>
      </c>
      <c r="L21">
        <v>0.99462727500000003</v>
      </c>
      <c r="M21">
        <v>35</v>
      </c>
    </row>
    <row r="22" spans="1:13" x14ac:dyDescent="0.25">
      <c r="A22">
        <v>13</v>
      </c>
      <c r="B22">
        <v>700</v>
      </c>
      <c r="C22">
        <v>689.67056285714295</v>
      </c>
      <c r="D22">
        <v>0.22063800814604601</v>
      </c>
      <c r="E22">
        <v>0.98524366122448903</v>
      </c>
      <c r="F22">
        <v>35</v>
      </c>
      <c r="H22">
        <v>14</v>
      </c>
      <c r="I22">
        <v>700</v>
      </c>
      <c r="J22">
        <v>700.67205714285706</v>
      </c>
      <c r="K22">
        <v>2.2210513067524702</v>
      </c>
      <c r="L22">
        <v>1.00096008163265</v>
      </c>
      <c r="M22">
        <v>35</v>
      </c>
    </row>
    <row r="23" spans="1:13" x14ac:dyDescent="0.25">
      <c r="A23">
        <v>14</v>
      </c>
      <c r="B23">
        <v>600</v>
      </c>
      <c r="C23">
        <v>602.53718285714206</v>
      </c>
      <c r="D23">
        <v>0.33868710137625802</v>
      </c>
      <c r="E23">
        <v>1.0042286380952301</v>
      </c>
      <c r="F23">
        <v>35</v>
      </c>
      <c r="H23">
        <v>15</v>
      </c>
      <c r="I23">
        <v>600</v>
      </c>
      <c r="J23">
        <v>599.12627142857104</v>
      </c>
      <c r="K23">
        <v>0.48030877174842801</v>
      </c>
      <c r="L23">
        <v>0.99854378571428504</v>
      </c>
      <c r="M23">
        <v>35</v>
      </c>
    </row>
    <row r="24" spans="1:13" x14ac:dyDescent="0.25">
      <c r="A24">
        <v>15</v>
      </c>
      <c r="B24">
        <v>500</v>
      </c>
      <c r="C24">
        <v>499.44999999999902</v>
      </c>
      <c r="D24">
        <v>0.266801874056387</v>
      </c>
      <c r="E24">
        <v>0.99889999999999901</v>
      </c>
      <c r="F24">
        <v>35</v>
      </c>
      <c r="H24">
        <v>16</v>
      </c>
      <c r="I24">
        <v>500</v>
      </c>
      <c r="J24">
        <v>503.367508571428</v>
      </c>
      <c r="K24">
        <v>0.42405348259487302</v>
      </c>
      <c r="L24">
        <v>1.00673501714285</v>
      </c>
      <c r="M24">
        <v>35</v>
      </c>
    </row>
    <row r="25" spans="1:13" x14ac:dyDescent="0.25">
      <c r="A25">
        <v>16</v>
      </c>
      <c r="B25">
        <v>400</v>
      </c>
      <c r="C25">
        <v>401.18721714285698</v>
      </c>
      <c r="D25">
        <v>0.233831099785487</v>
      </c>
      <c r="E25">
        <v>1.0029680428571399</v>
      </c>
      <c r="F25">
        <v>35</v>
      </c>
      <c r="H25">
        <v>17</v>
      </c>
      <c r="I25">
        <v>400</v>
      </c>
      <c r="J25">
        <v>408.601114285714</v>
      </c>
      <c r="K25">
        <v>0.45475947821371798</v>
      </c>
      <c r="L25">
        <v>1.02150278571428</v>
      </c>
      <c r="M25">
        <v>35</v>
      </c>
    </row>
    <row r="26" spans="1:13" x14ac:dyDescent="0.25">
      <c r="A26">
        <v>17</v>
      </c>
      <c r="B26">
        <v>300</v>
      </c>
      <c r="C26">
        <v>304.12187714285699</v>
      </c>
      <c r="D26">
        <v>0.26097897716293</v>
      </c>
      <c r="E26">
        <v>1.0137395904761899</v>
      </c>
      <c r="F26">
        <v>35</v>
      </c>
      <c r="H26">
        <v>18</v>
      </c>
      <c r="I26">
        <v>300</v>
      </c>
      <c r="J26">
        <v>305.53157714285697</v>
      </c>
      <c r="K26">
        <v>0.33540214938954499</v>
      </c>
      <c r="L26">
        <v>1.0184385904761899</v>
      </c>
      <c r="M26">
        <v>35</v>
      </c>
    </row>
    <row r="27" spans="1:13" x14ac:dyDescent="0.25">
      <c r="A27">
        <v>18</v>
      </c>
      <c r="B27">
        <v>200</v>
      </c>
      <c r="C27">
        <v>202.473802857142</v>
      </c>
      <c r="D27">
        <v>0.24501761339534001</v>
      </c>
      <c r="E27">
        <v>1.01236901428571</v>
      </c>
      <c r="F27">
        <v>35</v>
      </c>
      <c r="H27">
        <v>19</v>
      </c>
      <c r="I27">
        <v>200</v>
      </c>
      <c r="J27">
        <v>208.705162857142</v>
      </c>
      <c r="K27">
        <v>0.32774249673801198</v>
      </c>
      <c r="L27">
        <v>1.04352581428571</v>
      </c>
      <c r="M27">
        <v>35</v>
      </c>
    </row>
    <row r="28" spans="1:13" x14ac:dyDescent="0.25">
      <c r="A28">
        <v>19</v>
      </c>
      <c r="B28">
        <v>100</v>
      </c>
      <c r="C28">
        <v>101.219925714285</v>
      </c>
      <c r="D28">
        <v>8.1420951714844203E-2</v>
      </c>
      <c r="E28">
        <v>1.01219925714285</v>
      </c>
      <c r="F28">
        <v>35</v>
      </c>
      <c r="H28">
        <v>20</v>
      </c>
      <c r="I28">
        <v>100</v>
      </c>
      <c r="J28">
        <v>111.485634285714</v>
      </c>
      <c r="K28">
        <v>0.196134109195508</v>
      </c>
      <c r="L28">
        <v>1.1148563428571401</v>
      </c>
      <c r="M28">
        <v>35</v>
      </c>
    </row>
    <row r="29" spans="1:13" x14ac:dyDescent="0.25">
      <c r="A29">
        <v>20</v>
      </c>
      <c r="B29">
        <v>0</v>
      </c>
      <c r="C29">
        <v>4.1534457142857102</v>
      </c>
      <c r="D29">
        <v>9.4637109817564902E-2</v>
      </c>
      <c r="F29">
        <v>35</v>
      </c>
      <c r="H29">
        <v>21</v>
      </c>
      <c r="I29">
        <v>0</v>
      </c>
      <c r="J29">
        <v>13.006354285714201</v>
      </c>
      <c r="K29">
        <v>6.5866528779383704E-2</v>
      </c>
      <c r="M29">
        <v>35</v>
      </c>
    </row>
    <row r="30" spans="1:13" x14ac:dyDescent="0.25">
      <c r="A30">
        <v>21</v>
      </c>
      <c r="B30">
        <v>100</v>
      </c>
      <c r="C30">
        <v>86.944879999999998</v>
      </c>
      <c r="D30">
        <v>0.18454430489881801</v>
      </c>
      <c r="E30">
        <v>0.86944880000000002</v>
      </c>
      <c r="F30">
        <v>35</v>
      </c>
      <c r="H30">
        <v>22</v>
      </c>
      <c r="I30">
        <v>100</v>
      </c>
      <c r="J30">
        <v>99.127174285714204</v>
      </c>
      <c r="K30">
        <v>0.30011310058519203</v>
      </c>
      <c r="L30">
        <v>0.99127174285714204</v>
      </c>
      <c r="M30">
        <v>35</v>
      </c>
    </row>
    <row r="31" spans="1:13" x14ac:dyDescent="0.25">
      <c r="A31">
        <v>22</v>
      </c>
      <c r="B31">
        <v>200</v>
      </c>
      <c r="C31">
        <v>189.65181428571401</v>
      </c>
      <c r="D31">
        <v>0.13365163264084201</v>
      </c>
      <c r="E31">
        <v>0.94825907142857102</v>
      </c>
      <c r="F31">
        <v>35</v>
      </c>
      <c r="H31">
        <v>23</v>
      </c>
      <c r="I31">
        <v>200</v>
      </c>
      <c r="J31">
        <v>191.88556571428501</v>
      </c>
      <c r="K31">
        <v>0.30606026794316799</v>
      </c>
      <c r="L31">
        <v>0.95942782857142805</v>
      </c>
      <c r="M31">
        <v>35</v>
      </c>
    </row>
    <row r="32" spans="1:13" x14ac:dyDescent="0.25">
      <c r="A32">
        <v>23</v>
      </c>
      <c r="B32">
        <v>300</v>
      </c>
      <c r="C32">
        <v>280.72691142857099</v>
      </c>
      <c r="D32">
        <v>0.16040201291723</v>
      </c>
      <c r="E32">
        <v>0.93575637142857104</v>
      </c>
      <c r="F32">
        <v>35</v>
      </c>
      <c r="H32">
        <v>24</v>
      </c>
      <c r="I32">
        <v>300</v>
      </c>
      <c r="J32">
        <v>291.06325999999899</v>
      </c>
      <c r="K32">
        <v>0.101602284596819</v>
      </c>
      <c r="L32">
        <v>0.97021086666666601</v>
      </c>
      <c r="M32">
        <v>35</v>
      </c>
    </row>
    <row r="33" spans="1:13" x14ac:dyDescent="0.25">
      <c r="A33">
        <v>24</v>
      </c>
      <c r="B33">
        <v>400</v>
      </c>
      <c r="C33">
        <v>377.13458571428498</v>
      </c>
      <c r="D33">
        <v>8.0606948112640006E-2</v>
      </c>
      <c r="E33">
        <v>0.94283646428571399</v>
      </c>
      <c r="F33">
        <v>35</v>
      </c>
      <c r="H33">
        <v>25</v>
      </c>
      <c r="I33">
        <v>400</v>
      </c>
      <c r="J33">
        <v>390.18274857142802</v>
      </c>
      <c r="K33">
        <v>0.32663082719992997</v>
      </c>
      <c r="L33">
        <v>0.97545687142857096</v>
      </c>
      <c r="M33">
        <v>35</v>
      </c>
    </row>
    <row r="34" spans="1:13" x14ac:dyDescent="0.25">
      <c r="A34">
        <v>25</v>
      </c>
      <c r="B34">
        <v>500</v>
      </c>
      <c r="C34">
        <v>469.13181142857098</v>
      </c>
      <c r="D34">
        <v>0.27706173103970699</v>
      </c>
      <c r="E34">
        <v>0.93826362285714304</v>
      </c>
      <c r="F34">
        <v>35</v>
      </c>
      <c r="H34">
        <v>26</v>
      </c>
      <c r="I34">
        <v>500</v>
      </c>
      <c r="J34">
        <v>490.57620285714199</v>
      </c>
      <c r="K34">
        <v>0.23652664877310001</v>
      </c>
      <c r="L34">
        <v>0.98115240571428497</v>
      </c>
      <c r="M34">
        <v>35</v>
      </c>
    </row>
    <row r="35" spans="1:13" x14ac:dyDescent="0.25">
      <c r="A35">
        <v>26</v>
      </c>
      <c r="B35">
        <v>400</v>
      </c>
      <c r="C35">
        <v>389.45200285714202</v>
      </c>
      <c r="D35">
        <v>0.161076387588793</v>
      </c>
      <c r="E35">
        <v>0.97363000714285697</v>
      </c>
      <c r="F35">
        <v>35</v>
      </c>
      <c r="H35">
        <v>27</v>
      </c>
      <c r="I35">
        <v>400</v>
      </c>
      <c r="J35">
        <v>400.78786571428498</v>
      </c>
      <c r="K35">
        <v>0.18160423994606001</v>
      </c>
      <c r="L35">
        <v>1.0019696642857101</v>
      </c>
      <c r="M35">
        <v>35</v>
      </c>
    </row>
    <row r="36" spans="1:13" x14ac:dyDescent="0.25">
      <c r="A36">
        <v>27</v>
      </c>
      <c r="B36">
        <v>300</v>
      </c>
      <c r="C36">
        <v>290.832682857142</v>
      </c>
      <c r="D36">
        <v>0.29520000745826203</v>
      </c>
      <c r="E36">
        <v>0.96944227619047596</v>
      </c>
      <c r="F36">
        <v>35</v>
      </c>
      <c r="H36">
        <v>28</v>
      </c>
      <c r="I36">
        <v>300</v>
      </c>
      <c r="J36">
        <v>300.25209999999998</v>
      </c>
      <c r="K36">
        <v>0.40105427900208701</v>
      </c>
      <c r="L36">
        <v>1.00084033333333</v>
      </c>
      <c r="M36">
        <v>35</v>
      </c>
    </row>
    <row r="37" spans="1:13" x14ac:dyDescent="0.25">
      <c r="A37">
        <v>28</v>
      </c>
      <c r="B37">
        <v>200</v>
      </c>
      <c r="C37">
        <v>198.94173142857099</v>
      </c>
      <c r="D37">
        <v>0.21002568018253101</v>
      </c>
      <c r="E37">
        <v>0.99470865714285694</v>
      </c>
      <c r="F37">
        <v>35</v>
      </c>
      <c r="H37">
        <v>29</v>
      </c>
      <c r="I37">
        <v>200</v>
      </c>
      <c r="J37">
        <v>204.107777142857</v>
      </c>
      <c r="K37">
        <v>0.36362150092200901</v>
      </c>
      <c r="L37">
        <v>1.0205388857142801</v>
      </c>
      <c r="M37">
        <v>35</v>
      </c>
    </row>
    <row r="38" spans="1:13" x14ac:dyDescent="0.25">
      <c r="A38">
        <v>29</v>
      </c>
      <c r="B38">
        <v>100</v>
      </c>
      <c r="C38">
        <v>96.319791428571406</v>
      </c>
      <c r="D38">
        <v>0.46796335789902799</v>
      </c>
      <c r="E38">
        <v>0.963197914285714</v>
      </c>
      <c r="F38">
        <v>35</v>
      </c>
      <c r="H38">
        <v>30</v>
      </c>
      <c r="I38">
        <v>100</v>
      </c>
      <c r="J38">
        <v>106.195597142857</v>
      </c>
      <c r="K38">
        <v>0.26460641191568002</v>
      </c>
      <c r="L38">
        <v>1.06195597142857</v>
      </c>
      <c r="M38">
        <v>35</v>
      </c>
    </row>
    <row r="39" spans="1:13" x14ac:dyDescent="0.25">
      <c r="A39">
        <v>30</v>
      </c>
      <c r="B39">
        <v>0</v>
      </c>
      <c r="C39">
        <v>3.1702085714285699</v>
      </c>
      <c r="D39">
        <v>6.9386451345000294E-2</v>
      </c>
      <c r="F39">
        <v>35</v>
      </c>
      <c r="H39">
        <v>31</v>
      </c>
      <c r="I39">
        <v>0</v>
      </c>
      <c r="J39">
        <v>12.713768571428499</v>
      </c>
      <c r="K39">
        <v>0.14562169717825499</v>
      </c>
      <c r="M39">
        <v>35</v>
      </c>
    </row>
    <row r="40" spans="1:13" x14ac:dyDescent="0.25">
      <c r="A40">
        <v>31</v>
      </c>
      <c r="B40">
        <v>100</v>
      </c>
      <c r="C40">
        <v>86.706308571428494</v>
      </c>
      <c r="D40">
        <v>0.11521669193671701</v>
      </c>
      <c r="E40">
        <v>0.86706308571428503</v>
      </c>
      <c r="F40">
        <v>35</v>
      </c>
      <c r="H40">
        <v>32</v>
      </c>
      <c r="I40">
        <v>100</v>
      </c>
      <c r="J40">
        <v>95.163565714285696</v>
      </c>
      <c r="K40">
        <v>0.32912265185852302</v>
      </c>
      <c r="L40">
        <v>0.95163565714285703</v>
      </c>
      <c r="M40">
        <v>35</v>
      </c>
    </row>
    <row r="41" spans="1:13" x14ac:dyDescent="0.25">
      <c r="A41">
        <v>32</v>
      </c>
      <c r="B41">
        <v>200</v>
      </c>
      <c r="C41">
        <v>186.56649428571399</v>
      </c>
      <c r="D41">
        <v>5.73392378889084E-2</v>
      </c>
      <c r="E41">
        <v>0.93283247142857095</v>
      </c>
      <c r="F41">
        <v>35</v>
      </c>
      <c r="H41">
        <v>33</v>
      </c>
      <c r="I41">
        <v>200</v>
      </c>
      <c r="J41">
        <v>193.06261714285699</v>
      </c>
      <c r="K41">
        <v>0.134036701483355</v>
      </c>
      <c r="L41">
        <v>0.96531308571428498</v>
      </c>
      <c r="M41">
        <v>35</v>
      </c>
    </row>
    <row r="42" spans="1:13" x14ac:dyDescent="0.25">
      <c r="A42">
        <v>33</v>
      </c>
      <c r="B42">
        <v>300</v>
      </c>
      <c r="C42">
        <v>284.65937999999898</v>
      </c>
      <c r="D42">
        <v>0.19799214898279299</v>
      </c>
      <c r="E42">
        <v>0.94886459999999895</v>
      </c>
      <c r="F42">
        <v>35</v>
      </c>
      <c r="H42">
        <v>34</v>
      </c>
      <c r="I42">
        <v>300</v>
      </c>
      <c r="J42">
        <v>290.698534285714</v>
      </c>
      <c r="K42">
        <v>0.29906867885532701</v>
      </c>
      <c r="L42">
        <v>0.96899511428571405</v>
      </c>
      <c r="M42">
        <v>35</v>
      </c>
    </row>
    <row r="43" spans="1:13" x14ac:dyDescent="0.25">
      <c r="A43">
        <v>34</v>
      </c>
      <c r="B43">
        <v>400</v>
      </c>
      <c r="C43">
        <v>379.68647428571398</v>
      </c>
      <c r="D43">
        <v>0.24986090994657401</v>
      </c>
      <c r="E43">
        <v>0.94921618571428501</v>
      </c>
      <c r="F43">
        <v>35</v>
      </c>
      <c r="H43">
        <v>35</v>
      </c>
      <c r="I43">
        <v>400</v>
      </c>
      <c r="J43">
        <v>391.80069714285702</v>
      </c>
      <c r="K43">
        <v>0.26654249907871203</v>
      </c>
      <c r="L43">
        <v>0.97950174285714198</v>
      </c>
      <c r="M43">
        <v>35</v>
      </c>
    </row>
    <row r="44" spans="1:13" x14ac:dyDescent="0.25">
      <c r="A44">
        <v>35</v>
      </c>
      <c r="B44">
        <v>500</v>
      </c>
      <c r="C44">
        <v>472.14920285714197</v>
      </c>
      <c r="D44">
        <v>0.26650453973145999</v>
      </c>
      <c r="E44">
        <v>0.94429840571428503</v>
      </c>
      <c r="F44">
        <v>35</v>
      </c>
      <c r="H44">
        <v>36</v>
      </c>
      <c r="I44">
        <v>500</v>
      </c>
      <c r="J44">
        <v>488.11578857142803</v>
      </c>
      <c r="K44">
        <v>0.22857138127100601</v>
      </c>
      <c r="L44">
        <v>0.97623157714285702</v>
      </c>
      <c r="M44">
        <v>35</v>
      </c>
    </row>
    <row r="45" spans="1:13" x14ac:dyDescent="0.25">
      <c r="A45">
        <v>36</v>
      </c>
      <c r="B45">
        <v>400</v>
      </c>
      <c r="C45">
        <v>390.67919142857102</v>
      </c>
      <c r="D45">
        <v>8.6957052859541195E-2</v>
      </c>
      <c r="E45">
        <v>0.97669797857142804</v>
      </c>
      <c r="F45">
        <v>35</v>
      </c>
      <c r="H45">
        <v>37</v>
      </c>
      <c r="I45">
        <v>400</v>
      </c>
      <c r="J45">
        <v>396.78982285714198</v>
      </c>
      <c r="K45">
        <v>0.28265941268571398</v>
      </c>
      <c r="L45">
        <v>0.99197455714285698</v>
      </c>
      <c r="M45">
        <v>35</v>
      </c>
    </row>
    <row r="46" spans="1:13" x14ac:dyDescent="0.25">
      <c r="A46">
        <v>37</v>
      </c>
      <c r="B46">
        <v>300</v>
      </c>
      <c r="C46">
        <v>295.98942857142799</v>
      </c>
      <c r="D46">
        <v>0.18579342825620099</v>
      </c>
      <c r="E46">
        <v>0.98663142857142805</v>
      </c>
      <c r="F46">
        <v>35</v>
      </c>
      <c r="H46">
        <v>38</v>
      </c>
      <c r="I46">
        <v>300</v>
      </c>
      <c r="J46">
        <v>305.38583999999997</v>
      </c>
      <c r="K46">
        <v>0.25465474458799903</v>
      </c>
      <c r="L46">
        <v>1.0179528</v>
      </c>
      <c r="M46">
        <v>35</v>
      </c>
    </row>
    <row r="47" spans="1:13" x14ac:dyDescent="0.25">
      <c r="A47">
        <v>38</v>
      </c>
      <c r="B47">
        <v>200</v>
      </c>
      <c r="C47">
        <v>197.25372857142801</v>
      </c>
      <c r="D47">
        <v>0.195772177875846</v>
      </c>
      <c r="E47">
        <v>0.986268642857142</v>
      </c>
      <c r="F47">
        <v>35</v>
      </c>
      <c r="H47">
        <v>39</v>
      </c>
      <c r="I47">
        <v>200</v>
      </c>
      <c r="J47">
        <v>205.8175</v>
      </c>
      <c r="K47">
        <v>0.205475475851671</v>
      </c>
      <c r="L47">
        <v>1.0290874999999999</v>
      </c>
      <c r="M47">
        <v>35</v>
      </c>
    </row>
    <row r="48" spans="1:13" x14ac:dyDescent="0.25">
      <c r="A48">
        <v>39</v>
      </c>
      <c r="B48">
        <v>100</v>
      </c>
      <c r="C48">
        <v>100.45742571428499</v>
      </c>
      <c r="D48">
        <v>0.23172142928507</v>
      </c>
      <c r="E48">
        <v>1.00457425714285</v>
      </c>
      <c r="F48">
        <v>35</v>
      </c>
      <c r="H48">
        <v>40</v>
      </c>
      <c r="I48">
        <v>100</v>
      </c>
      <c r="J48">
        <v>104.80224285714201</v>
      </c>
      <c r="K48">
        <v>0.25539433901980102</v>
      </c>
      <c r="L48">
        <v>1.0480224285714199</v>
      </c>
      <c r="M48">
        <v>35</v>
      </c>
    </row>
    <row r="49" spans="1:13" x14ac:dyDescent="0.25">
      <c r="A49">
        <v>40</v>
      </c>
      <c r="B49">
        <v>0</v>
      </c>
      <c r="C49">
        <v>2.8479085714285701</v>
      </c>
      <c r="D49">
        <v>0.17474486674515299</v>
      </c>
      <c r="F49">
        <v>35</v>
      </c>
      <c r="H49">
        <v>41</v>
      </c>
      <c r="I49">
        <v>0</v>
      </c>
      <c r="J49">
        <v>12.979322857142799</v>
      </c>
      <c r="K49">
        <v>0.195471863607489</v>
      </c>
      <c r="M49">
        <v>35</v>
      </c>
    </row>
    <row r="50" spans="1:13" x14ac:dyDescent="0.25">
      <c r="H50">
        <v>42</v>
      </c>
      <c r="I50">
        <v>0</v>
      </c>
      <c r="J50">
        <v>-2.5883714285714201</v>
      </c>
      <c r="K50">
        <v>7.3802046725279402E-2</v>
      </c>
      <c r="M50">
        <v>35</v>
      </c>
    </row>
    <row r="53" spans="1:13" x14ac:dyDescent="0.25">
      <c r="B53" t="s">
        <v>22</v>
      </c>
      <c r="C53" t="s">
        <v>20</v>
      </c>
      <c r="D53" t="s">
        <v>21</v>
      </c>
      <c r="E53" t="s">
        <v>23</v>
      </c>
      <c r="I53" t="s">
        <v>22</v>
      </c>
      <c r="J53" t="s">
        <v>18</v>
      </c>
      <c r="K53" t="s">
        <v>19</v>
      </c>
      <c r="L53" t="s">
        <v>23</v>
      </c>
    </row>
    <row r="54" spans="1:13" x14ac:dyDescent="0.25">
      <c r="B54">
        <v>0</v>
      </c>
      <c r="D54">
        <f>AVERAGE(C29,C39,C49)</f>
        <v>3.3905209523809501</v>
      </c>
      <c r="E54">
        <f>Table4[[#This Row],[ha down]]-Table4[[#This Row],[ha up]]</f>
        <v>3.3905209523809501</v>
      </c>
      <c r="I54">
        <v>0</v>
      </c>
      <c r="K54">
        <f>AVERAGE(J29,J39,J49)</f>
        <v>12.899815238095165</v>
      </c>
      <c r="L54">
        <f>Table3[[#This Row],[la down]]-Table3[[#This Row],[la up]]</f>
        <v>12.899815238095165</v>
      </c>
    </row>
    <row r="55" spans="1:13" x14ac:dyDescent="0.25">
      <c r="B55">
        <v>100</v>
      </c>
      <c r="C55">
        <f>AVERAGE(C30,C40,C10)</f>
        <v>87.192234285714221</v>
      </c>
      <c r="D55">
        <f>AVERAGE(C28,C38,C48)</f>
        <v>99.332380952380461</v>
      </c>
      <c r="E55">
        <f>Table4[[#This Row],[ha down]]-Table4[[#This Row],[ha up]]</f>
        <v>12.14014666666624</v>
      </c>
      <c r="I55">
        <v>100</v>
      </c>
      <c r="J55">
        <f>AVERAGE(J30,J40,J10)</f>
        <v>94.452509523809468</v>
      </c>
      <c r="K55">
        <f>AVERAGE(J28,J38,J48)</f>
        <v>107.494491428571</v>
      </c>
      <c r="L55">
        <f>Table3[[#This Row],[la down]]-Table3[[#This Row],[la up]]</f>
        <v>13.041981904761528</v>
      </c>
    </row>
    <row r="56" spans="1:13" x14ac:dyDescent="0.25">
      <c r="B56">
        <v>200</v>
      </c>
      <c r="C56">
        <f>AVERAGE(C31,C41,C11)</f>
        <v>186.45466380952334</v>
      </c>
      <c r="D56">
        <f>AVERAGE(C27,C37,C47)</f>
        <v>199.55642095238034</v>
      </c>
      <c r="E56">
        <f>Table4[[#This Row],[ha down]]-Table4[[#This Row],[ha up]]</f>
        <v>13.101757142856997</v>
      </c>
      <c r="I56">
        <v>200</v>
      </c>
      <c r="J56">
        <f>AVERAGE(J31,J41,J11)</f>
        <v>189.93560666666633</v>
      </c>
      <c r="K56">
        <f>AVERAGE(J27,J37,J47)</f>
        <v>206.21014666666633</v>
      </c>
      <c r="L56">
        <f>Table3[[#This Row],[la down]]-Table3[[#This Row],[la up]]</f>
        <v>16.274540000000002</v>
      </c>
    </row>
    <row r="57" spans="1:13" x14ac:dyDescent="0.25">
      <c r="B57">
        <v>300</v>
      </c>
      <c r="C57">
        <f>AVERAGE(C32,C42,C12)</f>
        <v>282.06480952380895</v>
      </c>
      <c r="D57">
        <f>AVERAGE(C26,C36,C46)</f>
        <v>296.98132952380899</v>
      </c>
      <c r="E57">
        <f>Table4[[#This Row],[ha down]]-Table4[[#This Row],[ha up]]</f>
        <v>14.916520000000048</v>
      </c>
      <c r="I57">
        <v>300</v>
      </c>
      <c r="J57">
        <f>AVERAGE(J32,J42,J12)</f>
        <v>289.11603714285667</v>
      </c>
      <c r="K57">
        <f>AVERAGE(J26,J36,J46)</f>
        <v>303.72317238095229</v>
      </c>
      <c r="L57">
        <f>Table3[[#This Row],[la down]]-Table3[[#This Row],[la up]]</f>
        <v>14.607135238095623</v>
      </c>
    </row>
    <row r="58" spans="1:13" x14ac:dyDescent="0.25">
      <c r="B58">
        <v>400</v>
      </c>
      <c r="C58">
        <f>AVERAGE(C33,C43,C13)</f>
        <v>381.05571428571369</v>
      </c>
      <c r="D58">
        <f>AVERAGE(C25,C35,C45)</f>
        <v>393.77280380952334</v>
      </c>
      <c r="E58">
        <f>Table4[[#This Row],[ha down]]-Table4[[#This Row],[ha up]]</f>
        <v>12.717089523809648</v>
      </c>
      <c r="I58">
        <v>400</v>
      </c>
      <c r="J58">
        <f>AVERAGE(J33,J43,J13)</f>
        <v>387.56324285714237</v>
      </c>
      <c r="K58">
        <f>AVERAGE(J25,J35,J45)</f>
        <v>402.05960095238032</v>
      </c>
      <c r="L58">
        <f>Table3[[#This Row],[la down]]-Table3[[#This Row],[la up]]</f>
        <v>14.496358095237952</v>
      </c>
    </row>
    <row r="59" spans="1:13" x14ac:dyDescent="0.25">
      <c r="B59">
        <v>500</v>
      </c>
      <c r="C59">
        <f>AVERAGE(C34,C44,C14)</f>
        <v>471.38337619047564</v>
      </c>
      <c r="D59">
        <f>C24</f>
        <v>499.44999999999902</v>
      </c>
      <c r="E59">
        <f>Table4[[#This Row],[ha down]]-Table4[[#This Row],[ha up]]</f>
        <v>28.066623809523378</v>
      </c>
      <c r="I59">
        <v>500</v>
      </c>
      <c r="J59">
        <f>AVERAGE(J34,J44,J14)</f>
        <v>486.8112819047613</v>
      </c>
      <c r="K59">
        <f>J24</f>
        <v>503.367508571428</v>
      </c>
      <c r="L59">
        <f>Table3[[#This Row],[la down]]-Table3[[#This Row],[la up]]</f>
        <v>16.556226666666703</v>
      </c>
    </row>
    <row r="60" spans="1:13" x14ac:dyDescent="0.25">
      <c r="B60">
        <v>600</v>
      </c>
      <c r="C60">
        <f>C15</f>
        <v>560.43519714285696</v>
      </c>
      <c r="D60">
        <f>C23</f>
        <v>602.53718285714206</v>
      </c>
      <c r="E60">
        <f>Table4[[#This Row],[ha down]]-Table4[[#This Row],[ha up]]</f>
        <v>42.101985714285092</v>
      </c>
      <c r="I60">
        <v>600</v>
      </c>
      <c r="J60">
        <f>J15</f>
        <v>580.37692571428499</v>
      </c>
      <c r="K60">
        <f>J23</f>
        <v>599.12627142857104</v>
      </c>
      <c r="L60">
        <f>Table3[[#This Row],[la down]]-Table3[[#This Row],[la up]]</f>
        <v>18.749345714286051</v>
      </c>
    </row>
    <row r="61" spans="1:13" x14ac:dyDescent="0.25">
      <c r="B61">
        <v>700</v>
      </c>
      <c r="C61">
        <f>C16</f>
        <v>660.11163714285703</v>
      </c>
      <c r="D61">
        <f>C22</f>
        <v>689.67056285714295</v>
      </c>
      <c r="E61">
        <f>Table4[[#This Row],[ha down]]-Table4[[#This Row],[ha up]]</f>
        <v>29.55892571428592</v>
      </c>
      <c r="I61">
        <v>700</v>
      </c>
      <c r="J61">
        <f>J16</f>
        <v>680.46585428571404</v>
      </c>
      <c r="K61">
        <f>J22</f>
        <v>700.67205714285706</v>
      </c>
      <c r="L61">
        <f>Table3[[#This Row],[la down]]-Table3[[#This Row],[la up]]</f>
        <v>20.206202857143012</v>
      </c>
    </row>
    <row r="62" spans="1:13" x14ac:dyDescent="0.25">
      <c r="B62">
        <v>800</v>
      </c>
      <c r="C62">
        <f>C17</f>
        <v>751.01487428571397</v>
      </c>
      <c r="D62">
        <f>C21</f>
        <v>788.11281142857104</v>
      </c>
      <c r="E62">
        <f>Table4[[#This Row],[ha down]]-Table4[[#This Row],[ha up]]</f>
        <v>37.097937142857063</v>
      </c>
      <c r="I62">
        <v>800</v>
      </c>
      <c r="J62">
        <f>J17</f>
        <v>770.25654571428504</v>
      </c>
      <c r="K62">
        <f>J21</f>
        <v>795.70182</v>
      </c>
      <c r="L62">
        <f>Table3[[#This Row],[la down]]-Table3[[#This Row],[la up]]</f>
        <v>25.445274285714959</v>
      </c>
    </row>
    <row r="63" spans="1:13" x14ac:dyDescent="0.25">
      <c r="B63">
        <v>900</v>
      </c>
      <c r="C63">
        <f>C18</f>
        <v>846.83820571428498</v>
      </c>
      <c r="D63">
        <f>C20</f>
        <v>869.02027142857105</v>
      </c>
      <c r="E63">
        <f>Table4[[#This Row],[ha down]]-Table4[[#This Row],[ha up]]</f>
        <v>22.182065714286068</v>
      </c>
      <c r="I63">
        <v>900</v>
      </c>
      <c r="J63">
        <f>J18</f>
        <v>868.92632857142803</v>
      </c>
      <c r="K63">
        <f>J20</f>
        <v>885.36680571428496</v>
      </c>
      <c r="L63">
        <f>Table3[[#This Row],[la down]]-Table3[[#This Row],[la up]]</f>
        <v>16.440477142856935</v>
      </c>
    </row>
    <row r="64" spans="1:13" x14ac:dyDescent="0.25">
      <c r="B64">
        <v>1000</v>
      </c>
      <c r="C64">
        <f>C19</f>
        <v>948.39481428571401</v>
      </c>
      <c r="I64">
        <v>1000</v>
      </c>
      <c r="J64">
        <f>J19</f>
        <v>972.09868857142806</v>
      </c>
    </row>
    <row r="65" spans="5:12" x14ac:dyDescent="0.25">
      <c r="E65" s="1">
        <f>AVERAGE(Table4[difference])</f>
        <v>21.527357238095142</v>
      </c>
      <c r="L65" s="1">
        <f>AVERAGE(Table3[difference])</f>
        <v>16.871735714285794</v>
      </c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</dc:creator>
  <cp:lastModifiedBy>pmuo8837 / KOCH Fabian Lukas / Fabian Lukas KOCH</cp:lastModifiedBy>
  <dcterms:created xsi:type="dcterms:W3CDTF">2015-06-05T18:17:20Z</dcterms:created>
  <dcterms:modified xsi:type="dcterms:W3CDTF">2026-05-27T06:03:04Z</dcterms:modified>
</cp:coreProperties>
</file>