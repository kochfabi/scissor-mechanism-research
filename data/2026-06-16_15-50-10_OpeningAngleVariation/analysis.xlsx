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6-16_15-50-10_OpeningAngleVariation/"/>
    </mc:Choice>
  </mc:AlternateContent>
  <xr:revisionPtr revIDLastSave="6" documentId="8_{66EBF3FB-79E4-4729-AD1B-470CE93A4271}" xr6:coauthVersionLast="47" xr6:coauthVersionMax="47" xr10:uidLastSave="{1B6FE3B8-0805-4142-A7F4-7C69F5B3B7D7}"/>
  <bookViews>
    <workbookView xWindow="-103" yWindow="-103" windowWidth="22149" windowHeight="13200" xr2:uid="{F4D94018-A683-4337-8E84-0B45674183A7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9" i="1"/>
</calcChain>
</file>

<file path=xl/sharedStrings.xml><?xml version="1.0" encoding="utf-8"?>
<sst xmlns="http://schemas.openxmlformats.org/spreadsheetml/2006/main" count="19" uniqueCount="19">
  <si>
    <t># title</t>
  </si>
  <si>
    <t>OpeningAngleVariation</t>
  </si>
  <si>
    <t># notes</t>
  </si>
  <si>
    <t>repeated test to analyze contradicting results</t>
  </si>
  <si>
    <t># independent_variable</t>
  </si>
  <si>
    <t>l_offset [mm]</t>
  </si>
  <si>
    <t># F_in</t>
  </si>
  <si>
    <t>300 g</t>
  </si>
  <si>
    <t># l_offset</t>
  </si>
  <si>
    <t># n_units</t>
  </si>
  <si>
    <t># l_curve</t>
  </si>
  <si>
    <t>trial</t>
  </si>
  <si>
    <t>l_offset</t>
  </si>
  <si>
    <t>mean_force_g</t>
  </si>
  <si>
    <t>std_force_g</t>
  </si>
  <si>
    <t>epsilon</t>
  </si>
  <si>
    <t>n_samples</t>
  </si>
  <si>
    <t>drift_slope_g_s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</si>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</sst>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 angle</a:t>
            </a:r>
            <a:r>
              <a:rPr lang="en-US" baseline="0"/>
              <a:t> variation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summary!$D$8</c:f>
              <c:strCache>
                <c:ptCount val="1"/>
                <c:pt idx="0">
                  <c:v>mean_force_g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summary!$C$9:$C$21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</c:numCache>
            </c:numRef>
          </c:xVal>
          <c:yVal>
            <c:numRef>
              <c:f>summary!$D$9:$D$21</c:f>
              <c:numCache>
                <c:formatCode>General</c:formatCode>
                <c:ptCount val="13"/>
                <c:pt idx="0">
                  <c:v>294.992160869565</c:v>
                </c:pt>
                <c:pt idx="1">
                  <c:v>285.64064782608699</c:v>
                </c:pt>
                <c:pt idx="2">
                  <c:v>285.84113623188398</c:v>
                </c:pt>
                <c:pt idx="3">
                  <c:v>282.08610144927502</c:v>
                </c:pt>
                <c:pt idx="4">
                  <c:v>284.19514492753598</c:v>
                </c:pt>
                <c:pt idx="5">
                  <c:v>285.84681884057898</c:v>
                </c:pt>
                <c:pt idx="6">
                  <c:v>286.23809420289803</c:v>
                </c:pt>
                <c:pt idx="7">
                  <c:v>279.53363478260798</c:v>
                </c:pt>
                <c:pt idx="8">
                  <c:v>280.159630434782</c:v>
                </c:pt>
                <c:pt idx="9">
                  <c:v>285.39417391304301</c:v>
                </c:pt>
                <c:pt idx="10">
                  <c:v>278.29148550724602</c:v>
                </c:pt>
                <c:pt idx="11">
                  <c:v>276.06451739130398</c:v>
                </c:pt>
                <c:pt idx="12">
                  <c:v>272.53760579710098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0-4119-901B-20B43248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825007"/>
        <c:axId val="682827407"/>
      </c:scatterChart>
      <c:valAx>
        <c:axId val="68282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l_offset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27407"/>
        <c:crosses val="autoZero"/>
        <c:crossBetween val="midCat"/>
      </c:valAx>
      <c:valAx>
        <c:axId val="6828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F_out [g]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2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Opening</a:t>
            </a:r>
            <a:r>
              <a:rPr lang="en-GB" baseline="0"/>
              <a:t> angle variation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summary!$D$8</c:f>
              <c:strCache>
                <c:ptCount val="1"/>
                <c:pt idx="0">
                  <c:v>mean_force_g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summary!$B$9:$B$21</c:f>
              <c:numCache>
                <c:formatCode>General</c:formatCode>
                <c:ptCount val="13"/>
                <c:pt idx="0">
                  <c:v>63.896118862660103</c:v>
                </c:pt>
                <c:pt idx="1">
                  <c:v>50.208180500442765</c:v>
                </c:pt>
                <c:pt idx="2">
                  <c:v>50.208180500442765</c:v>
                </c:pt>
                <c:pt idx="3">
                  <c:v>50.208180500442765</c:v>
                </c:pt>
                <c:pt idx="4">
                  <c:v>42.268584429572471</c:v>
                </c:pt>
                <c:pt idx="5">
                  <c:v>42.268584429572471</c:v>
                </c:pt>
                <c:pt idx="6">
                  <c:v>42.268584429572471</c:v>
                </c:pt>
                <c:pt idx="7">
                  <c:v>32.859880378889102</c:v>
                </c:pt>
                <c:pt idx="8">
                  <c:v>32.859880378889102</c:v>
                </c:pt>
                <c:pt idx="9">
                  <c:v>32.859880378889102</c:v>
                </c:pt>
                <c:pt idx="10">
                  <c:v>23.073918065630959</c:v>
                </c:pt>
                <c:pt idx="11">
                  <c:v>23.073918065630959</c:v>
                </c:pt>
                <c:pt idx="12">
                  <c:v>23.073918065630959</c:v>
                </c:pt>
              </c:numCache>
            </c:numRef>
          </c:xVal>
          <c:yVal>
            <c:numRef>
              <c:f>summary!$D$9:$D$21</c:f>
              <c:numCache>
                <c:formatCode>General</c:formatCode>
                <c:ptCount val="13"/>
                <c:pt idx="0">
                  <c:v>294.992160869565</c:v>
                </c:pt>
                <c:pt idx="1">
                  <c:v>285.64064782608699</c:v>
                </c:pt>
                <c:pt idx="2">
                  <c:v>285.84113623188398</c:v>
                </c:pt>
                <c:pt idx="3">
                  <c:v>282.08610144927502</c:v>
                </c:pt>
                <c:pt idx="4">
                  <c:v>284.19514492753598</c:v>
                </c:pt>
                <c:pt idx="5">
                  <c:v>285.84681884057898</c:v>
                </c:pt>
                <c:pt idx="6">
                  <c:v>286.23809420289803</c:v>
                </c:pt>
                <c:pt idx="7">
                  <c:v>279.53363478260798</c:v>
                </c:pt>
                <c:pt idx="8">
                  <c:v>280.159630434782</c:v>
                </c:pt>
                <c:pt idx="9">
                  <c:v>285.39417391304301</c:v>
                </c:pt>
                <c:pt idx="10">
                  <c:v>278.29148550724602</c:v>
                </c:pt>
                <c:pt idx="11">
                  <c:v>276.06451739130398</c:v>
                </c:pt>
                <c:pt idx="12">
                  <c:v>272.53760579710098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D-495B-A669-5E8E91C5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086143"/>
        <c:axId val="267815855"/>
      </c:scatterChart>
      <c:valAx>
        <c:axId val="74308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θ</a:t>
                </a:r>
                <a:r>
                  <a:rPr lang="en-GB" baseline="0"/>
                  <a:t> [°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15855"/>
        <c:crosses val="autoZero"/>
        <c:crossBetween val="midCat"/>
      </c:valAx>
      <c:valAx>
        <c:axId val="26781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F_out</a:t>
                </a:r>
                <a:r>
                  <a:rPr lang="en-GB" baseline="0"/>
                  <a:t> [g]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8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6</xdr:row>
      <xdr:rowOff>157162</xdr:rowOff>
    </xdr:from>
    <xdr:to>
      <xdr:col>17</xdr:col>
      <xdr:colOff>409575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6A7C1-F925-5D3F-3943-DD2A1A20E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22</xdr:row>
      <xdr:rowOff>4762</xdr:rowOff>
    </xdr:from>
    <xdr:to>
      <xdr:col>17</xdr:col>
      <xdr:colOff>438150</xdr:colOff>
      <xdr:row>36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4DBD49-0DAF-0CF5-73ED-1F6AAB86F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E00B1-B095-4F69-9EC3-00FE0A8EE434}" name="Table1" displayName="Table1" ref="C8:D21" totalsRowShown="0">
  <autoFilter ref="C8:D21" xr:uid="{CCCE00B1-B095-4F69-9EC3-00FE0A8EE434}"/>
  <tableColumns count="2">
    <tableColumn id="1" xr3:uid="{F95C018A-94A3-4DC5-916A-261BB523AD3F}" name="l_offset"/>
    <tableColumn id="2" xr3:uid="{9EB16AAE-DAFE-4845-9376-213B5523BB91}" name="mean_force_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BD16-B9C5-43E7-BB91-6B1E1D40C980}">
  <dimension ref="A1:H21"/>
  <sheetViews>
    <sheetView tabSelected="1" topLeftCell="A11" workbookViewId="0">
      <selection activeCell="J34" sqref="J34"/>
    </sheetView>
  </sheetViews>
  <sheetFormatPr defaultRowHeight="14.6" x14ac:dyDescent="0.4"/>
  <cols>
    <col min="3" max="3" width="10" customWidth="1"/>
    <col min="4" max="4" width="15.53515625" customWidth="1"/>
  </cols>
  <sheetData>
    <row r="1" spans="1:8" x14ac:dyDescent="0.4">
      <c r="A1" t="s">
        <v>0</v>
      </c>
      <c r="C1" t="s">
        <v>1</v>
      </c>
    </row>
    <row r="2" spans="1:8" x14ac:dyDescent="0.4">
      <c r="A2" t="s">
        <v>2</v>
      </c>
      <c r="C2" t="s">
        <v>3</v>
      </c>
    </row>
    <row r="3" spans="1:8" x14ac:dyDescent="0.4">
      <c r="A3" t="s">
        <v>4</v>
      </c>
      <c r="C3" t="s">
        <v>5</v>
      </c>
    </row>
    <row r="4" spans="1:8" x14ac:dyDescent="0.4">
      <c r="A4" t="s">
        <v>6</v>
      </c>
      <c r="C4" t="s">
        <v>7</v>
      </c>
    </row>
    <row r="5" spans="1:8" x14ac:dyDescent="0.4">
      <c r="A5" t="s">
        <v>8</v>
      </c>
    </row>
    <row r="6" spans="1:8" x14ac:dyDescent="0.4">
      <c r="A6" t="s">
        <v>9</v>
      </c>
      <c r="C6">
        <v>2</v>
      </c>
    </row>
    <row r="7" spans="1:8" x14ac:dyDescent="0.4">
      <c r="A7" t="s">
        <v>10</v>
      </c>
      <c r="C7">
        <v>0</v>
      </c>
    </row>
    <row r="8" spans="1:8" x14ac:dyDescent="0.4">
      <c r="A8" t="s">
        <v>11</v>
      </c>
      <c r="B8" t="s">
        <v>18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4">
      <c r="A9">
        <v>1</v>
      </c>
      <c r="B9">
        <f>DEGREES(ACOS((44+2*Table1[[#This Row],[l_offset]])/100))</f>
        <v>63.896118862660103</v>
      </c>
      <c r="C9">
        <v>0</v>
      </c>
      <c r="D9">
        <v>294.992160869565</v>
      </c>
      <c r="E9">
        <v>0.93575481049153797</v>
      </c>
      <c r="F9">
        <v>0.98330720289855</v>
      </c>
      <c r="G9">
        <v>69</v>
      </c>
      <c r="H9">
        <v>-0.10515905481978501</v>
      </c>
    </row>
    <row r="10" spans="1:8" x14ac:dyDescent="0.4">
      <c r="A10">
        <v>2</v>
      </c>
      <c r="B10">
        <f>DEGREES(ACOS((44+2*Table1[[#This Row],[l_offset]])/100))</f>
        <v>50.208180500442765</v>
      </c>
      <c r="C10">
        <v>10</v>
      </c>
      <c r="D10">
        <v>285.64064782608699</v>
      </c>
      <c r="E10">
        <v>0.34567709499265398</v>
      </c>
      <c r="F10">
        <v>0.95213549275362297</v>
      </c>
      <c r="G10">
        <v>69</v>
      </c>
      <c r="H10">
        <v>1.12729562380548E-2</v>
      </c>
    </row>
    <row r="11" spans="1:8" x14ac:dyDescent="0.4">
      <c r="A11">
        <v>3</v>
      </c>
      <c r="B11">
        <f>DEGREES(ACOS((44+2*Table1[[#This Row],[l_offset]])/100))</f>
        <v>50.208180500442765</v>
      </c>
      <c r="C11">
        <v>10</v>
      </c>
      <c r="D11">
        <v>285.84113623188398</v>
      </c>
      <c r="E11">
        <v>0.75434433527928402</v>
      </c>
      <c r="F11">
        <v>0.95280378743961303</v>
      </c>
      <c r="G11">
        <v>69</v>
      </c>
      <c r="H11">
        <v>9.6885166655364899E-3</v>
      </c>
    </row>
    <row r="12" spans="1:8" x14ac:dyDescent="0.4">
      <c r="A12">
        <v>4</v>
      </c>
      <c r="B12">
        <f>DEGREES(ACOS((44+2*Table1[[#This Row],[l_offset]])/100))</f>
        <v>50.208180500442765</v>
      </c>
      <c r="C12">
        <v>10</v>
      </c>
      <c r="D12">
        <v>282.08610144927502</v>
      </c>
      <c r="E12">
        <v>0.34483009605445902</v>
      </c>
      <c r="F12">
        <v>0.94028700483091698</v>
      </c>
      <c r="G12">
        <v>69</v>
      </c>
      <c r="H12">
        <v>2.64171747876593E-2</v>
      </c>
    </row>
    <row r="13" spans="1:8" x14ac:dyDescent="0.4">
      <c r="A13">
        <v>5</v>
      </c>
      <c r="B13">
        <f>DEGREES(ACOS((44+2*Table1[[#This Row],[l_offset]])/100))</f>
        <v>42.268584429572471</v>
      </c>
      <c r="C13">
        <v>15</v>
      </c>
      <c r="D13">
        <v>284.19514492753598</v>
      </c>
      <c r="E13">
        <v>0.44637535528384098</v>
      </c>
      <c r="F13">
        <v>0.94731714975845405</v>
      </c>
      <c r="G13">
        <v>69</v>
      </c>
      <c r="H13">
        <v>-3.5498213328473999E-2</v>
      </c>
    </row>
    <row r="14" spans="1:8" x14ac:dyDescent="0.4">
      <c r="A14">
        <v>6</v>
      </c>
      <c r="B14">
        <f>DEGREES(ACOS((44+2*Table1[[#This Row],[l_offset]])/100))</f>
        <v>42.268584429572471</v>
      </c>
      <c r="C14">
        <v>15</v>
      </c>
      <c r="D14">
        <v>285.84681884057898</v>
      </c>
      <c r="E14">
        <v>0.37153830705648799</v>
      </c>
      <c r="F14">
        <v>0.95282272946859903</v>
      </c>
      <c r="G14">
        <v>69</v>
      </c>
      <c r="H14">
        <v>-5.7623253334126599E-3</v>
      </c>
    </row>
    <row r="15" spans="1:8" x14ac:dyDescent="0.4">
      <c r="A15">
        <v>7</v>
      </c>
      <c r="B15">
        <f>DEGREES(ACOS((44+2*Table1[[#This Row],[l_offset]])/100))</f>
        <v>42.268584429572471</v>
      </c>
      <c r="C15">
        <v>15</v>
      </c>
      <c r="D15">
        <v>286.23809420289803</v>
      </c>
      <c r="E15">
        <v>2.33935376118403</v>
      </c>
      <c r="F15">
        <v>0.95412698067632795</v>
      </c>
      <c r="G15">
        <v>69</v>
      </c>
      <c r="H15">
        <v>0.216996047779806</v>
      </c>
    </row>
    <row r="16" spans="1:8" x14ac:dyDescent="0.4">
      <c r="A16">
        <v>8</v>
      </c>
      <c r="B16">
        <f>DEGREES(ACOS((44+2*Table1[[#This Row],[l_offset]])/100))</f>
        <v>32.859880378889102</v>
      </c>
      <c r="C16">
        <v>20</v>
      </c>
      <c r="D16">
        <v>279.53363478260798</v>
      </c>
      <c r="E16">
        <v>0.451515076559591</v>
      </c>
      <c r="F16">
        <v>0.93177878260869496</v>
      </c>
      <c r="G16">
        <v>69</v>
      </c>
      <c r="H16">
        <v>-3.3039481016707999E-2</v>
      </c>
    </row>
    <row r="17" spans="1:8" x14ac:dyDescent="0.4">
      <c r="A17">
        <v>9</v>
      </c>
      <c r="B17">
        <f>DEGREES(ACOS((44+2*Table1[[#This Row],[l_offset]])/100))</f>
        <v>32.859880378889102</v>
      </c>
      <c r="C17">
        <v>20</v>
      </c>
      <c r="D17">
        <v>280.159630434782</v>
      </c>
      <c r="E17">
        <v>0.32593134440550797</v>
      </c>
      <c r="F17">
        <v>0.93386543478260797</v>
      </c>
      <c r="G17">
        <v>69</v>
      </c>
      <c r="H17">
        <v>3.1434363672842199E-2</v>
      </c>
    </row>
    <row r="18" spans="1:8" x14ac:dyDescent="0.4">
      <c r="A18">
        <v>10</v>
      </c>
      <c r="B18">
        <f>DEGREES(ACOS((44+2*Table1[[#This Row],[l_offset]])/100))</f>
        <v>32.859880378889102</v>
      </c>
      <c r="C18">
        <v>20</v>
      </c>
      <c r="D18">
        <v>285.39417391304301</v>
      </c>
      <c r="E18">
        <v>0.72311131509287396</v>
      </c>
      <c r="F18">
        <v>0.95131391304347801</v>
      </c>
      <c r="G18">
        <v>69</v>
      </c>
      <c r="H18">
        <v>-1.6831351814634701E-2</v>
      </c>
    </row>
    <row r="19" spans="1:8" x14ac:dyDescent="0.4">
      <c r="A19">
        <v>11</v>
      </c>
      <c r="B19">
        <f>DEGREES(ACOS((44+2*Table1[[#This Row],[l_offset]])/100))</f>
        <v>23.073918065630959</v>
      </c>
      <c r="C19">
        <v>24</v>
      </c>
      <c r="D19">
        <v>278.29148550724602</v>
      </c>
      <c r="E19">
        <v>0.99631562744581703</v>
      </c>
      <c r="F19">
        <v>0.92763828502415402</v>
      </c>
      <c r="G19">
        <v>69</v>
      </c>
      <c r="H19">
        <v>-5.2946746879927301E-2</v>
      </c>
    </row>
    <row r="20" spans="1:8" x14ac:dyDescent="0.4">
      <c r="A20">
        <v>12</v>
      </c>
      <c r="B20">
        <f>DEGREES(ACOS((44+2*Table1[[#This Row],[l_offset]])/100))</f>
        <v>23.073918065630959</v>
      </c>
      <c r="C20">
        <v>24</v>
      </c>
      <c r="D20">
        <v>276.06451739130398</v>
      </c>
      <c r="E20">
        <v>0.62944557956527902</v>
      </c>
      <c r="F20">
        <v>0.92021505797101399</v>
      </c>
      <c r="G20">
        <v>69</v>
      </c>
      <c r="H20">
        <v>6.64429979698304E-2</v>
      </c>
    </row>
    <row r="21" spans="1:8" x14ac:dyDescent="0.4">
      <c r="A21">
        <v>13</v>
      </c>
      <c r="B21">
        <f>DEGREES(ACOS((44+2*Table1[[#This Row],[l_offset]])/100))</f>
        <v>23.073918065630959</v>
      </c>
      <c r="C21">
        <v>24</v>
      </c>
      <c r="D21">
        <v>272.53760579710098</v>
      </c>
      <c r="E21">
        <v>0.31507333454668901</v>
      </c>
      <c r="F21">
        <v>0.90845868599033797</v>
      </c>
      <c r="G21">
        <v>69</v>
      </c>
      <c r="H21">
        <v>-2.7260771828342599E-2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2026-06-16T06:57:32Z</dcterms:created>
  <dcterms:modified xsi:type="dcterms:W3CDTF">2026-06-18T12:10:58Z</dcterms:modified>
</cp:coreProperties>
</file>