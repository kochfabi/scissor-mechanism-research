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dacjp-my.sharepoint.com/personal/koch_f_f64c_m_isct_ac_jp/Documents/Documents/4-Software/01_sensor_test/data/"/>
    </mc:Choice>
  </mc:AlternateContent>
  <xr:revisionPtr revIDLastSave="13" documentId="8_{47B0D3E7-359F-4585-8656-4BF5B6989B72}" xr6:coauthVersionLast="47" xr6:coauthVersionMax="47" xr10:uidLastSave="{EFAB6C93-67EF-4377-AFD3-AFFF675DA2C2}"/>
  <bookViews>
    <workbookView xWindow="-120" yWindow="-120" windowWidth="29040" windowHeight="15720" xr2:uid="{73E3506D-7FE7-4388-BC30-4B3CE4885C63}"/>
  </bookViews>
  <sheets>
    <sheet name="data_analysis" sheetId="1" r:id="rId1"/>
  </sheets>
  <definedNames>
    <definedName name="_xlchart.v1.0" hidden="1">data_analysis!$A$99:$A$107</definedName>
    <definedName name="_xlchart.v1.1" hidden="1">data_analysis!$B$98</definedName>
    <definedName name="_xlchart.v1.10" hidden="1">data_analysis!$B$2:$B$11</definedName>
    <definedName name="_xlchart.v1.11" hidden="1">data_analysis!$B$2:$B$85</definedName>
    <definedName name="_xlchart.v1.12" hidden="1">data_analysis!$C$1</definedName>
    <definedName name="_xlchart.v1.13" hidden="1">data_analysis!$C$2:$C$11</definedName>
    <definedName name="_xlchart.v1.14" hidden="1">data_analysis!$C$2:$C$85</definedName>
    <definedName name="_xlchart.v1.2" hidden="1">data_analysis!$B$99:$B$107</definedName>
    <definedName name="_xlchart.v1.3" hidden="1">data_analysis!$C$98</definedName>
    <definedName name="_xlchart.v1.4" hidden="1">data_analysis!$C$99:$C$107</definedName>
    <definedName name="_xlchart.v1.5" hidden="1">data_analysis!$B$1</definedName>
    <definedName name="_xlchart.v1.6" hidden="1">data_analysis!$B$2:$B$85</definedName>
    <definedName name="_xlchart.v1.7" hidden="1">data_analysis!$C$1</definedName>
    <definedName name="_xlchart.v1.8" hidden="1">data_analysis!$C$2:$C$85</definedName>
    <definedName name="_xlchart.v1.9" hidden="1">data_analysis!$B$1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9" i="1" l="1"/>
  <c r="E100" i="1"/>
  <c r="E101" i="1"/>
  <c r="E102" i="1"/>
  <c r="E103" i="1"/>
  <c r="E104" i="1"/>
  <c r="E105" i="1"/>
  <c r="E106" i="1"/>
  <c r="E107" i="1"/>
  <c r="D99" i="1"/>
  <c r="D100" i="1"/>
  <c r="D102" i="1"/>
  <c r="D103" i="1"/>
  <c r="D104" i="1"/>
  <c r="D105" i="1"/>
  <c r="D106" i="1"/>
  <c r="D107" i="1"/>
  <c r="B100" i="1"/>
  <c r="B105" i="1"/>
  <c r="AH80" i="1"/>
  <c r="B107" i="1" s="1"/>
  <c r="AD94" i="1"/>
  <c r="B106" i="1" s="1"/>
  <c r="Z74" i="1"/>
  <c r="V73" i="1"/>
  <c r="B104" i="1" s="1"/>
  <c r="R67" i="1"/>
  <c r="B103" i="1" s="1"/>
  <c r="N82" i="1"/>
  <c r="B102" i="1" s="1"/>
  <c r="J100" i="1"/>
  <c r="B101" i="1" s="1"/>
  <c r="D101" i="1" s="1"/>
  <c r="F71" i="1"/>
  <c r="B86" i="1"/>
  <c r="B99" i="1" s="1"/>
</calcChain>
</file>

<file path=xl/sharedStrings.xml><?xml version="1.0" encoding="utf-8"?>
<sst xmlns="http://schemas.openxmlformats.org/spreadsheetml/2006/main" count="77" uniqueCount="13">
  <si>
    <t>millis_ms</t>
  </si>
  <si>
    <t>weight_g</t>
  </si>
  <si>
    <t>time_s</t>
  </si>
  <si>
    <t>Column1</t>
  </si>
  <si>
    <t>input weight</t>
  </si>
  <si>
    <t>Sum</t>
  </si>
  <si>
    <t>Average</t>
  </si>
  <si>
    <t>Running Total</t>
  </si>
  <si>
    <t>Count</t>
  </si>
  <si>
    <t>outpout_weight</t>
  </si>
  <si>
    <t>ideal</t>
  </si>
  <si>
    <t>ratio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</si>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</sst>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data_analysis!$B$98</c:f>
              <c:strCache>
                <c:ptCount val="1"/>
                <c:pt idx="0">
                  <c:v>outpout_weight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data_analysis!$A$99:$A$107</c:f>
              <c:numCache>
                <c:formatCode>General</c:formatCode>
                <c:ptCount val="9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</c:numCache>
            </c:numRef>
          </c:xVal>
          <c:yVal>
            <c:numRef>
              <c:f>data_analysis!$B$99:$B$107</c:f>
              <c:numCache>
                <c:formatCode>General</c:formatCode>
                <c:ptCount val="9"/>
                <c:pt idx="0">
                  <c:v>1.0917380952380953</c:v>
                </c:pt>
                <c:pt idx="1">
                  <c:v>78.784318840579715</c:v>
                </c:pt>
                <c:pt idx="2">
                  <c:v>183.44129591836722</c:v>
                </c:pt>
                <c:pt idx="3">
                  <c:v>295.61177500000008</c:v>
                </c:pt>
                <c:pt idx="4">
                  <c:v>403.47156923076932</c:v>
                </c:pt>
                <c:pt idx="5">
                  <c:v>498.09576056338017</c:v>
                </c:pt>
                <c:pt idx="6">
                  <c:v>597.92311111111121</c:v>
                </c:pt>
                <c:pt idx="7">
                  <c:v>703.20540217391328</c:v>
                </c:pt>
                <c:pt idx="8">
                  <c:v>795.58383333333336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81-4345-ADCB-50FB2CB467D4}"/>
            </c:ext>
          </c:extLst>
        </c:ser>
        <c:ser>
          <c:idx val="1"/>
          <c:order val="1"/>
          <c:tx>
            <c:strRef>
              <c:f>data_analysis!$C$98</c:f>
              <c:strCache>
                <c:ptCount val="1"/>
                <c:pt idx="0">
                  <c:v>ideal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data_analysis!$A$99:$A$107</c:f>
              <c:numCache>
                <c:formatCode>General</c:formatCode>
                <c:ptCount val="9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</c:numCache>
            </c:numRef>
          </c:xVal>
          <c:yVal>
            <c:numRef>
              <c:f>data_analysis!$C$99:$C$107</c:f>
              <c:numCache>
                <c:formatCode>General</c:formatCode>
                <c:ptCount val="9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81-4345-ADCB-50FB2CB467D4}"/>
            </c:ext>
          </c:extLst>
        </c:ser>
        <c:ser>
          <c:idx val="3"/>
          <c:order val="3"/>
          <c:tx>
            <c:strRef>
              <c:f>data_analysis!$E$98</c:f>
              <c:strCache>
                <c:ptCount val="1"/>
                <c:pt idx="0">
                  <c:v>difference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data_analysis!$A$99:$A$107</c:f>
              <c:numCache>
                <c:formatCode>General</c:formatCode>
                <c:ptCount val="9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</c:numCache>
            </c:numRef>
          </c:xVal>
          <c:yVal>
            <c:numRef>
              <c:f>data_analysis!$E$99:$E$107</c:f>
              <c:numCache>
                <c:formatCode>General</c:formatCode>
                <c:ptCount val="9"/>
                <c:pt idx="0">
                  <c:v>0</c:v>
                </c:pt>
                <c:pt idx="1">
                  <c:v>77.692580745341616</c:v>
                </c:pt>
                <c:pt idx="2">
                  <c:v>104.6569770777875</c:v>
                </c:pt>
                <c:pt idx="3">
                  <c:v>112.17047908163286</c:v>
                </c:pt>
                <c:pt idx="4">
                  <c:v>107.85979423076924</c:v>
                </c:pt>
                <c:pt idx="5">
                  <c:v>94.624191332610849</c:v>
                </c:pt>
                <c:pt idx="6">
                  <c:v>99.827350547731044</c:v>
                </c:pt>
                <c:pt idx="7">
                  <c:v>105.28229106280207</c:v>
                </c:pt>
                <c:pt idx="8">
                  <c:v>92.378431159420074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81-4345-ADCB-50FB2CB4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81200"/>
        <c:axId val="13948168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data_analysis!$D$98</c15:sqref>
                        </c15:formulaRef>
                      </c:ext>
                    </c:extLst>
                    <c:strCache>
                      <c:ptCount val="1"/>
                      <c:pt idx="0">
                        <c:v>ratio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data_analysis!$A$99:$A$107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400</c:v>
                      </c:pt>
                      <c:pt idx="5">
                        <c:v>500</c:v>
                      </c:pt>
                      <c:pt idx="6">
                        <c:v>600</c:v>
                      </c:pt>
                      <c:pt idx="7">
                        <c:v>700</c:v>
                      </c:pt>
                      <c:pt idx="8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data_analysis!$D$99:$D$107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0.78784318840579715</c:v>
                      </c:pt>
                      <c:pt idx="2">
                        <c:v>0.9172064795918361</c:v>
                      </c:pt>
                      <c:pt idx="3">
                        <c:v>0.98537258333333355</c:v>
                      </c:pt>
                      <c:pt idx="4">
                        <c:v>1.0086789230769233</c:v>
                      </c:pt>
                      <c:pt idx="5">
                        <c:v>0.99619152112676035</c:v>
                      </c:pt>
                      <c:pt idx="6">
                        <c:v>0.99653851851851871</c:v>
                      </c:pt>
                      <c:pt idx="7">
                        <c:v>1.0045791459627333</c:v>
                      </c:pt>
                      <c:pt idx="8">
                        <c:v>0.99447979166666667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C281-4345-ADCB-50FB2CB467D4}"/>
                  </c:ext>
                </c:extLst>
              </c15:ser>
            </c15:filteredScatterSeries>
          </c:ext>
        </c:extLst>
      </c:scatterChart>
      <c:valAx>
        <c:axId val="13948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81680"/>
        <c:crosses val="autoZero"/>
        <c:crossBetween val="midCat"/>
      </c:valAx>
      <c:valAx>
        <c:axId val="13948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8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103310</xdr:colOff>
      <xdr:row>109</xdr:row>
      <xdr:rowOff>2564</xdr:rowOff>
    </xdr:from>
    <xdr:to>
      <xdr:col>6</xdr:col>
      <xdr:colOff>257175</xdr:colOff>
      <xdr:row>123</xdr:row>
      <xdr:rowOff>78764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C91DFA-40DE-2627-4ADB-B9428D658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472E0-1AA5-4DE3-BFDD-1EAD2623F0FA}" name="Table1" displayName="Table1" ref="A1:C86" totalsRowCount="1" headerRowCellStyle="Normal" dataCellStyle="Normal" totalsRowCellStyle="Normal">
  <autoFilter ref="A1:C85" xr:uid="{B8D472E0-1AA5-4DE3-BFDD-1EAD2623F0FA}"/>
  <tableColumns count="3">
    <tableColumn id="1" xr3:uid="{00CBD6A3-38BD-40F9-B2A0-F4216774DC70}" name="millis_ms" dataCellStyle="Normal"/>
    <tableColumn id="3" xr3:uid="{1C905382-5579-4A12-8076-FE4C9580537D}" name="weight_g" totalsRowFunction="average" dataCellStyle="Normal"/>
    <tableColumn id="4" xr3:uid="{8049C836-5C3D-475E-930A-1CEC3012DE28}" name="time_s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83AB13-4702-4266-A770-F97D684767A3}" name="Table2" displayName="Table2" ref="E1:G71" totalsRowCount="1">
  <autoFilter ref="E1:G70" xr:uid="{2383AB13-4702-4266-A770-F97D684767A3}"/>
  <tableColumns count="3">
    <tableColumn id="1" xr3:uid="{672E7BCD-80A1-4792-B6FF-409AE760EC83}" name="millis_ms"/>
    <tableColumn id="3" xr3:uid="{AC84EAD0-3597-48D6-BFC7-520EB27E07DF}" name="weight_g" totalsRowFunction="average"/>
    <tableColumn id="4" xr3:uid="{C0670BA8-EAC2-4721-B0E6-29ED4D5CD36B}" name="time_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BE1432-7B59-4CC5-8FD5-BF54A4EA0A3F}" name="Table3" displayName="Table3" ref="I1:K100" totalsRowCount="1">
  <autoFilter ref="I1:K99" xr:uid="{7EBE1432-7B59-4CC5-8FD5-BF54A4EA0A3F}"/>
  <tableColumns count="3">
    <tableColumn id="1" xr3:uid="{AC4FA316-889A-4553-A29D-13ADFF542220}" name="millis_ms"/>
    <tableColumn id="3" xr3:uid="{C9C0A227-536C-4BBF-9E94-F69C374C038C}" name="weight_g" totalsRowFunction="average"/>
    <tableColumn id="4" xr3:uid="{7769E910-491B-46EE-836F-45FE36E1C39F}" name="time_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1430C0-771E-4DA5-8E5A-B9BC1F6FDA3E}" name="Table4" displayName="Table4" ref="M1:O82" totalsRowCount="1">
  <autoFilter ref="M1:O81" xr:uid="{291430C0-771E-4DA5-8E5A-B9BC1F6FDA3E}"/>
  <tableColumns count="3">
    <tableColumn id="1" xr3:uid="{A424B00C-0158-49B8-8010-37358EF38290}" name="millis_ms"/>
    <tableColumn id="3" xr3:uid="{71231DCA-175C-4B2C-BFCA-0A1744E92B8E}" name="weight_g" totalsRowFunction="average"/>
    <tableColumn id="4" xr3:uid="{49FE2B1E-7BF9-4C17-A629-0BD75A186B2D}" name="time_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FAA251-969D-438C-AB86-F3107FB573CC}" name="Table5" displayName="Table5" ref="Q1:S67" totalsRowCount="1">
  <autoFilter ref="Q1:S66" xr:uid="{35FAA251-969D-438C-AB86-F3107FB573CC}"/>
  <tableColumns count="3">
    <tableColumn id="1" xr3:uid="{18D3EE82-C063-4E12-9678-EC676A3306CD}" name="millis_ms"/>
    <tableColumn id="3" xr3:uid="{D7549AEC-3B3A-46F2-8074-7200A653EA4E}" name="weight_g" totalsRowFunction="average"/>
    <tableColumn id="4" xr3:uid="{861F7414-543A-4736-AB1C-F64D853C199A}" name="time_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805477-F888-45F8-8BD5-741761ECA90D}" name="Table6" displayName="Table6" ref="U1:W73" totalsRowCount="1">
  <autoFilter ref="U1:W72" xr:uid="{6A805477-F888-45F8-8BD5-741761ECA90D}"/>
  <tableColumns count="3">
    <tableColumn id="1" xr3:uid="{968432FF-CEB2-4FDF-8C59-145FDE031DE3}" name="millis_ms"/>
    <tableColumn id="3" xr3:uid="{1379379F-23ED-4F1B-8EC0-912EE54FEFB5}" name="weight_g" totalsRowFunction="average"/>
    <tableColumn id="4" xr3:uid="{B8580624-5F94-4EC5-9C58-466C5388ADFA}" name="time_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17C76D-6AF9-4F00-9437-8CBAF916EBD2}" name="Table7" displayName="Table7" ref="Y1:AA74" totalsRowCount="1">
  <autoFilter ref="Y1:AA73" xr:uid="{C917C76D-6AF9-4F00-9437-8CBAF916EBD2}"/>
  <tableColumns count="3">
    <tableColumn id="1" xr3:uid="{68977346-4D4A-4ED0-991A-E69F1CC3D6DE}" name="millis_ms"/>
    <tableColumn id="3" xr3:uid="{86C696A4-19D3-4BC3-B6A1-080B2E1D2E52}" name="weight_g" totalsRowFunction="average"/>
    <tableColumn id="4" xr3:uid="{F8B60485-FECD-4AB4-8382-BF1FBB341780}" name="time_s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BE67DC-4C06-4293-9C09-C9629B90227F}" name="Table8" displayName="Table8" ref="AC1:AE94" totalsRowCount="1">
  <autoFilter ref="AC1:AE93" xr:uid="{15BE67DC-4C06-4293-9C09-C9629B90227F}"/>
  <tableColumns count="3">
    <tableColumn id="1" xr3:uid="{DB218362-002E-490F-8CB7-3BFAAAC1D8F4}" name="millis_ms"/>
    <tableColumn id="3" xr3:uid="{02D97836-EFB7-4B6F-8707-EB5FF7EE4CC9}" name="weight_g" totalsRowFunction="average"/>
    <tableColumn id="4" xr3:uid="{8AE1EB1D-56B2-4490-8C7C-6A25D58920E3}" name="time_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EBDBAE-CF1E-424D-9F02-13EF365BB9F7}" name="Table9" displayName="Table9" ref="AG1:AI80" totalsRowCount="1">
  <autoFilter ref="AG1:AI79" xr:uid="{97EBDBAE-CF1E-424D-9F02-13EF365BB9F7}"/>
  <tableColumns count="3">
    <tableColumn id="1" xr3:uid="{7C1C8CA0-5DFA-4201-88ED-57A6A16306BF}" name="millis_ms"/>
    <tableColumn id="3" xr3:uid="{7D60FF04-9C89-4BEC-9A08-713208F80AB0}" name="weight_g" totalsRowFunction="average"/>
    <tableColumn id="4" xr3:uid="{41E11837-870D-48EF-B86D-10FB38B22056}" name="time_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8B73DAC-0096-4B2E-BAB9-3359F61764E3}" name="Table10" displayName="Table10" ref="A98:E107" totalsRowShown="0">
  <autoFilter ref="A98:E107" xr:uid="{18B73DAC-0096-4B2E-BAB9-3359F61764E3}"/>
  <tableColumns count="5">
    <tableColumn id="1" xr3:uid="{0677E2E6-363A-438F-AB70-E31C3137DA87}" name="input weight"/>
    <tableColumn id="2" xr3:uid="{036C1112-DE7A-4D64-B0B7-9BDC03203F6A}" name="outpout_weight"/>
    <tableColumn id="4" xr3:uid="{061FB4A1-C85F-43A9-926D-1B0203ADBC90}" name="ideal"/>
    <tableColumn id="5" xr3:uid="{9697ECF4-D3E7-4CAB-BA53-60FF277CFABF}" name="ratio" dataDxfId="1">
      <calculatedColumnFormula>Table10[[#This Row],[outpout_weight]]/Table10[[#This Row],[input weight]]</calculatedColumnFormula>
    </tableColumn>
    <tableColumn id="6" xr3:uid="{009B8101-EC4A-43E5-B2FF-6E5EA1536CA3}" name="difference" dataDxfId="0">
      <calculatedColumnFormula>B99-B98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7E99-EAC1-4BA8-9C18-ADBD3A74D6AB}">
  <dimension ref="A1:AI107"/>
  <sheetViews>
    <sheetView tabSelected="1" zoomScale="70" zoomScaleNormal="70" workbookViewId="0">
      <selection activeCell="G91" sqref="G91"/>
    </sheetView>
  </sheetViews>
  <sheetFormatPr defaultRowHeight="15" x14ac:dyDescent="0.25"/>
  <cols>
    <col min="1" max="1" width="14.28515625" customWidth="1"/>
    <col min="2" max="2" width="11" customWidth="1"/>
    <col min="5" max="5" width="11.7109375" bestFit="1" customWidth="1"/>
    <col min="6" max="6" width="11" customWidth="1"/>
    <col min="9" max="9" width="11.7109375" customWidth="1"/>
    <col min="10" max="10" width="11" customWidth="1"/>
    <col min="13" max="13" width="11.7109375" customWidth="1"/>
    <col min="14" max="14" width="11" customWidth="1"/>
    <col min="17" max="17" width="11.7109375" customWidth="1"/>
    <col min="18" max="18" width="11" customWidth="1"/>
    <col min="21" max="21" width="11.7109375" customWidth="1"/>
    <col min="22" max="22" width="11" customWidth="1"/>
    <col min="25" max="25" width="11.7109375" customWidth="1"/>
    <col min="26" max="26" width="11" customWidth="1"/>
    <col min="29" max="29" width="11.7109375" customWidth="1"/>
    <col min="30" max="30" width="11" customWidth="1"/>
    <col min="33" max="33" width="11.7109375" customWidth="1"/>
    <col min="34" max="34" width="11" customWidth="1"/>
  </cols>
  <sheetData>
    <row r="1" spans="1:35" x14ac:dyDescent="0.2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  <c r="I1" t="s">
        <v>0</v>
      </c>
      <c r="J1" t="s">
        <v>1</v>
      </c>
      <c r="K1" t="s">
        <v>2</v>
      </c>
      <c r="M1" t="s">
        <v>0</v>
      </c>
      <c r="N1" t="s">
        <v>1</v>
      </c>
      <c r="O1" t="s">
        <v>2</v>
      </c>
      <c r="Q1" t="s">
        <v>0</v>
      </c>
      <c r="R1" t="s">
        <v>1</v>
      </c>
      <c r="S1" t="s">
        <v>2</v>
      </c>
      <c r="U1" t="s">
        <v>0</v>
      </c>
      <c r="V1" t="s">
        <v>1</v>
      </c>
      <c r="W1" t="s">
        <v>2</v>
      </c>
      <c r="Y1" t="s">
        <v>0</v>
      </c>
      <c r="Z1" t="s">
        <v>1</v>
      </c>
      <c r="AA1" t="s">
        <v>2</v>
      </c>
      <c r="AC1" t="s">
        <v>0</v>
      </c>
      <c r="AD1" t="s">
        <v>1</v>
      </c>
      <c r="AE1" t="s">
        <v>2</v>
      </c>
      <c r="AG1" t="s">
        <v>0</v>
      </c>
      <c r="AH1" t="s">
        <v>1</v>
      </c>
      <c r="AI1" t="s">
        <v>2</v>
      </c>
    </row>
    <row r="2" spans="1:35" x14ac:dyDescent="0.25">
      <c r="A2">
        <v>554382</v>
      </c>
      <c r="B2">
        <v>-1.137</v>
      </c>
      <c r="C2">
        <v>0</v>
      </c>
      <c r="E2">
        <v>577224</v>
      </c>
      <c r="F2">
        <v>-77.828000000000003</v>
      </c>
      <c r="G2">
        <v>22.841999999999999</v>
      </c>
      <c r="I2">
        <v>598228</v>
      </c>
      <c r="J2">
        <v>-187.60400000000001</v>
      </c>
      <c r="K2">
        <v>43.845999999999997</v>
      </c>
      <c r="M2">
        <v>625530</v>
      </c>
      <c r="N2">
        <v>-301.41699999999997</v>
      </c>
      <c r="O2">
        <v>71.147999999999996</v>
      </c>
      <c r="Q2">
        <v>648105</v>
      </c>
      <c r="R2">
        <v>-406.73200000000003</v>
      </c>
      <c r="S2">
        <v>93.722999999999999</v>
      </c>
      <c r="U2">
        <v>666742</v>
      </c>
      <c r="V2">
        <v>-497.67099999999999</v>
      </c>
      <c r="W2">
        <v>112.36</v>
      </c>
      <c r="Y2">
        <v>687479</v>
      </c>
      <c r="Z2">
        <v>-602.12300000000005</v>
      </c>
      <c r="AA2">
        <v>133.09700000000001</v>
      </c>
      <c r="AC2">
        <v>708477</v>
      </c>
      <c r="AD2">
        <v>-709.25199999999995</v>
      </c>
      <c r="AE2">
        <v>154.095</v>
      </c>
      <c r="AG2">
        <v>734200</v>
      </c>
      <c r="AH2">
        <v>-793.80700000000002</v>
      </c>
      <c r="AI2">
        <v>179.81800000000001</v>
      </c>
    </row>
    <row r="3" spans="1:35" x14ac:dyDescent="0.25">
      <c r="A3">
        <v>554645</v>
      </c>
      <c r="B3">
        <v>-1.0580000000000001</v>
      </c>
      <c r="C3">
        <v>0.26300000000000001</v>
      </c>
      <c r="E3">
        <v>577486</v>
      </c>
      <c r="F3">
        <v>-78.504000000000005</v>
      </c>
      <c r="G3">
        <v>23.103999999999999</v>
      </c>
      <c r="I3">
        <v>598490</v>
      </c>
      <c r="J3">
        <v>-188.239</v>
      </c>
      <c r="K3">
        <v>44.107999999999997</v>
      </c>
      <c r="M3">
        <v>625793</v>
      </c>
      <c r="N3">
        <v>-300.04199999999997</v>
      </c>
      <c r="O3">
        <v>71.411000000000001</v>
      </c>
      <c r="Q3">
        <v>648368</v>
      </c>
      <c r="R3">
        <v>-406.52300000000002</v>
      </c>
      <c r="S3">
        <v>93.986000000000004</v>
      </c>
      <c r="U3">
        <v>667005</v>
      </c>
      <c r="V3">
        <v>-497.72899999999998</v>
      </c>
      <c r="W3">
        <v>112.623</v>
      </c>
      <c r="Y3">
        <v>687742</v>
      </c>
      <c r="Z3">
        <v>-601.84199999999998</v>
      </c>
      <c r="AA3">
        <v>133.36000000000001</v>
      </c>
      <c r="AC3">
        <v>708740</v>
      </c>
      <c r="AD3">
        <v>-708.54200000000003</v>
      </c>
      <c r="AE3">
        <v>154.358</v>
      </c>
      <c r="AG3">
        <v>734462</v>
      </c>
      <c r="AH3">
        <v>-793.053</v>
      </c>
      <c r="AI3">
        <v>180.08</v>
      </c>
    </row>
    <row r="4" spans="1:35" x14ac:dyDescent="0.25">
      <c r="A4">
        <v>554907</v>
      </c>
      <c r="B4">
        <v>-1.2370000000000001</v>
      </c>
      <c r="C4">
        <v>0.52500000000000002</v>
      </c>
      <c r="E4">
        <v>577749</v>
      </c>
      <c r="F4">
        <v>-78.468999999999994</v>
      </c>
      <c r="G4">
        <v>23.367000000000001</v>
      </c>
      <c r="I4">
        <v>598753</v>
      </c>
      <c r="J4">
        <v>-187.23099999999999</v>
      </c>
      <c r="K4">
        <v>44.371000000000002</v>
      </c>
      <c r="M4">
        <v>626055</v>
      </c>
      <c r="N4">
        <v>-299.25299999999999</v>
      </c>
      <c r="O4">
        <v>71.673000000000002</v>
      </c>
      <c r="Q4">
        <v>648630</v>
      </c>
      <c r="R4">
        <v>-406.03</v>
      </c>
      <c r="S4">
        <v>94.248000000000005</v>
      </c>
      <c r="U4">
        <v>667267</v>
      </c>
      <c r="V4">
        <v>-498.685</v>
      </c>
      <c r="W4">
        <v>112.88500000000001</v>
      </c>
      <c r="Y4">
        <v>688004</v>
      </c>
      <c r="Z4">
        <v>-600.81299999999999</v>
      </c>
      <c r="AA4">
        <v>133.62200000000001</v>
      </c>
      <c r="AC4">
        <v>709002</v>
      </c>
      <c r="AD4">
        <v>-707.45299999999997</v>
      </c>
      <c r="AE4">
        <v>154.62</v>
      </c>
      <c r="AG4">
        <v>734725</v>
      </c>
      <c r="AH4">
        <v>-792.32399999999996</v>
      </c>
      <c r="AI4">
        <v>180.34299999999999</v>
      </c>
    </row>
    <row r="5" spans="1:35" x14ac:dyDescent="0.25">
      <c r="A5">
        <v>555170</v>
      </c>
      <c r="B5">
        <v>-1.089</v>
      </c>
      <c r="C5">
        <v>0.78800000000000003</v>
      </c>
      <c r="E5">
        <v>578011</v>
      </c>
      <c r="F5">
        <v>-78.335999999999999</v>
      </c>
      <c r="G5">
        <v>23.629000000000001</v>
      </c>
      <c r="I5">
        <v>599015</v>
      </c>
      <c r="J5">
        <v>-186.65199999999999</v>
      </c>
      <c r="K5">
        <v>44.633000000000003</v>
      </c>
      <c r="M5">
        <v>626318</v>
      </c>
      <c r="N5">
        <v>-298.63400000000001</v>
      </c>
      <c r="O5">
        <v>71.936000000000007</v>
      </c>
      <c r="Q5">
        <v>648893</v>
      </c>
      <c r="R5">
        <v>-405.29399999999998</v>
      </c>
      <c r="S5">
        <v>94.510999999999996</v>
      </c>
      <c r="U5">
        <v>667530</v>
      </c>
      <c r="V5">
        <v>-499.78899999999999</v>
      </c>
      <c r="W5">
        <v>113.148</v>
      </c>
      <c r="Y5">
        <v>688266</v>
      </c>
      <c r="Z5">
        <v>-601.92700000000002</v>
      </c>
      <c r="AA5">
        <v>133.88399999999999</v>
      </c>
      <c r="AC5">
        <v>709264</v>
      </c>
      <c r="AD5">
        <v>-707.11699999999996</v>
      </c>
      <c r="AE5">
        <v>154.88200000000001</v>
      </c>
      <c r="AG5">
        <v>734987</v>
      </c>
      <c r="AH5">
        <v>-791.62900000000002</v>
      </c>
      <c r="AI5">
        <v>180.60499999999999</v>
      </c>
    </row>
    <row r="6" spans="1:35" x14ac:dyDescent="0.25">
      <c r="A6">
        <v>555432</v>
      </c>
      <c r="B6">
        <v>-1.1910000000000001</v>
      </c>
      <c r="C6">
        <v>1.05</v>
      </c>
      <c r="E6">
        <v>578274</v>
      </c>
      <c r="F6">
        <v>-78.917000000000002</v>
      </c>
      <c r="G6">
        <v>23.891999999999999</v>
      </c>
      <c r="I6">
        <v>599278</v>
      </c>
      <c r="J6">
        <v>-185.85599999999999</v>
      </c>
      <c r="K6">
        <v>44.896000000000001</v>
      </c>
      <c r="M6">
        <v>626581</v>
      </c>
      <c r="N6">
        <v>-299.34800000000001</v>
      </c>
      <c r="O6">
        <v>72.198999999999998</v>
      </c>
      <c r="Q6">
        <v>649155</v>
      </c>
      <c r="R6">
        <v>-404.66500000000002</v>
      </c>
      <c r="S6">
        <v>94.772999999999996</v>
      </c>
      <c r="U6">
        <v>667792</v>
      </c>
      <c r="V6">
        <v>-499.14499999999998</v>
      </c>
      <c r="W6">
        <v>113.41</v>
      </c>
      <c r="Y6">
        <v>688529</v>
      </c>
      <c r="Z6">
        <v>-601.92700000000002</v>
      </c>
      <c r="AA6">
        <v>134.14699999999999</v>
      </c>
      <c r="AC6">
        <v>709527</v>
      </c>
      <c r="AD6">
        <v>-707.024</v>
      </c>
      <c r="AE6">
        <v>155.14500000000001</v>
      </c>
      <c r="AG6">
        <v>735250</v>
      </c>
      <c r="AH6">
        <v>-798.13099999999997</v>
      </c>
      <c r="AI6">
        <v>180.86799999999999</v>
      </c>
    </row>
    <row r="7" spans="1:35" x14ac:dyDescent="0.25">
      <c r="A7">
        <v>555695</v>
      </c>
      <c r="B7">
        <v>-1.087</v>
      </c>
      <c r="C7">
        <v>1.3129999999999999</v>
      </c>
      <c r="E7">
        <v>578537</v>
      </c>
      <c r="F7">
        <v>-78.603999999999999</v>
      </c>
      <c r="G7">
        <v>24.155000000000001</v>
      </c>
      <c r="I7">
        <v>599540</v>
      </c>
      <c r="J7">
        <v>-185.727</v>
      </c>
      <c r="K7">
        <v>45.158000000000001</v>
      </c>
      <c r="M7">
        <v>626843</v>
      </c>
      <c r="N7">
        <v>-298.98</v>
      </c>
      <c r="O7">
        <v>72.460999999999999</v>
      </c>
      <c r="Q7">
        <v>649417</v>
      </c>
      <c r="R7">
        <v>-404.72199999999998</v>
      </c>
      <c r="S7">
        <v>95.034999999999997</v>
      </c>
      <c r="U7">
        <v>668055</v>
      </c>
      <c r="V7">
        <v>-498.27499999999998</v>
      </c>
      <c r="W7">
        <v>113.673</v>
      </c>
      <c r="Y7">
        <v>688791</v>
      </c>
      <c r="Z7">
        <v>-602.029</v>
      </c>
      <c r="AA7">
        <v>134.40899999999999</v>
      </c>
      <c r="AC7">
        <v>709789</v>
      </c>
      <c r="AD7">
        <v>-706.90700000000004</v>
      </c>
      <c r="AE7">
        <v>155.40700000000001</v>
      </c>
      <c r="AG7">
        <v>735512</v>
      </c>
      <c r="AH7">
        <v>-800.01199999999994</v>
      </c>
      <c r="AI7">
        <v>181.13</v>
      </c>
    </row>
    <row r="8" spans="1:35" x14ac:dyDescent="0.25">
      <c r="A8">
        <v>555957</v>
      </c>
      <c r="B8">
        <v>-1.1870000000000001</v>
      </c>
      <c r="C8">
        <v>1.575</v>
      </c>
      <c r="E8">
        <v>578799</v>
      </c>
      <c r="F8">
        <v>-78.989999999999995</v>
      </c>
      <c r="G8">
        <v>24.417000000000002</v>
      </c>
      <c r="I8">
        <v>599803</v>
      </c>
      <c r="J8">
        <v>-185.029</v>
      </c>
      <c r="K8">
        <v>45.420999999999999</v>
      </c>
      <c r="M8">
        <v>627105</v>
      </c>
      <c r="N8">
        <v>-298.66300000000001</v>
      </c>
      <c r="O8">
        <v>72.722999999999999</v>
      </c>
      <c r="Q8">
        <v>649680</v>
      </c>
      <c r="R8">
        <v>-405.26900000000001</v>
      </c>
      <c r="S8">
        <v>95.298000000000002</v>
      </c>
      <c r="U8">
        <v>668317</v>
      </c>
      <c r="V8">
        <v>-497.82900000000001</v>
      </c>
      <c r="W8">
        <v>113.935</v>
      </c>
      <c r="Y8">
        <v>689054</v>
      </c>
      <c r="Z8">
        <v>-601.75699999999995</v>
      </c>
      <c r="AA8">
        <v>134.672</v>
      </c>
      <c r="AC8">
        <v>710052</v>
      </c>
      <c r="AD8">
        <v>-707.07799999999997</v>
      </c>
      <c r="AE8">
        <v>155.66999999999999</v>
      </c>
      <c r="AG8">
        <v>735775</v>
      </c>
      <c r="AH8">
        <v>-799.60599999999999</v>
      </c>
      <c r="AI8">
        <v>181.393</v>
      </c>
    </row>
    <row r="9" spans="1:35" x14ac:dyDescent="0.25">
      <c r="A9">
        <v>556220</v>
      </c>
      <c r="B9">
        <v>-1.077</v>
      </c>
      <c r="C9">
        <v>1.8380000000000001</v>
      </c>
      <c r="E9">
        <v>579062</v>
      </c>
      <c r="F9">
        <v>-78.826999999999998</v>
      </c>
      <c r="G9">
        <v>24.68</v>
      </c>
      <c r="I9">
        <v>600065</v>
      </c>
      <c r="J9">
        <v>-184.73599999999999</v>
      </c>
      <c r="K9">
        <v>45.683</v>
      </c>
      <c r="M9">
        <v>627368</v>
      </c>
      <c r="N9">
        <v>-298.04899999999998</v>
      </c>
      <c r="O9">
        <v>72.986000000000004</v>
      </c>
      <c r="Q9">
        <v>649942</v>
      </c>
      <c r="R9">
        <v>-405.24200000000002</v>
      </c>
      <c r="S9">
        <v>95.56</v>
      </c>
      <c r="U9">
        <v>668580</v>
      </c>
      <c r="V9">
        <v>-498.57499999999999</v>
      </c>
      <c r="W9">
        <v>114.19799999999999</v>
      </c>
      <c r="Y9">
        <v>689316</v>
      </c>
      <c r="Z9">
        <v>-601.43200000000002</v>
      </c>
      <c r="AA9">
        <v>134.934</v>
      </c>
      <c r="AC9">
        <v>710314</v>
      </c>
      <c r="AD9">
        <v>-706.10500000000002</v>
      </c>
      <c r="AE9">
        <v>155.93199999999999</v>
      </c>
      <c r="AG9">
        <v>736038</v>
      </c>
      <c r="AH9">
        <v>-798.39200000000005</v>
      </c>
      <c r="AI9">
        <v>181.65600000000001</v>
      </c>
    </row>
    <row r="10" spans="1:35" x14ac:dyDescent="0.25">
      <c r="A10">
        <v>556483</v>
      </c>
      <c r="B10">
        <v>-1.079</v>
      </c>
      <c r="C10">
        <v>2.101</v>
      </c>
      <c r="E10">
        <v>579325</v>
      </c>
      <c r="F10">
        <v>-78.873000000000005</v>
      </c>
      <c r="G10">
        <v>24.943000000000001</v>
      </c>
      <c r="I10">
        <v>600328</v>
      </c>
      <c r="J10">
        <v>-184.31299999999999</v>
      </c>
      <c r="K10">
        <v>45.945999999999998</v>
      </c>
      <c r="M10">
        <v>627631</v>
      </c>
      <c r="N10">
        <v>-297.74900000000002</v>
      </c>
      <c r="O10">
        <v>73.248999999999995</v>
      </c>
      <c r="Q10">
        <v>650205</v>
      </c>
      <c r="R10">
        <v>-404.767</v>
      </c>
      <c r="S10">
        <v>95.822999999999993</v>
      </c>
      <c r="U10">
        <v>668842</v>
      </c>
      <c r="V10">
        <v>-498.83300000000003</v>
      </c>
      <c r="W10">
        <v>114.46</v>
      </c>
      <c r="Y10">
        <v>689578</v>
      </c>
      <c r="Z10">
        <v>-601.47799999999995</v>
      </c>
      <c r="AA10">
        <v>135.196</v>
      </c>
      <c r="AC10">
        <v>710577</v>
      </c>
      <c r="AD10">
        <v>-705.57799999999997</v>
      </c>
      <c r="AE10">
        <v>156.19499999999999</v>
      </c>
      <c r="AG10">
        <v>736300</v>
      </c>
      <c r="AH10">
        <v>-797.54</v>
      </c>
      <c r="AI10">
        <v>181.91800000000001</v>
      </c>
    </row>
    <row r="11" spans="1:35" x14ac:dyDescent="0.25">
      <c r="A11">
        <v>556745</v>
      </c>
      <c r="B11">
        <v>-1.1140000000000001</v>
      </c>
      <c r="C11">
        <v>2.363</v>
      </c>
      <c r="E11">
        <v>579587</v>
      </c>
      <c r="F11">
        <v>-78.978999999999999</v>
      </c>
      <c r="G11">
        <v>25.204999999999998</v>
      </c>
      <c r="I11">
        <v>600591</v>
      </c>
      <c r="J11">
        <v>-184.059</v>
      </c>
      <c r="K11">
        <v>46.209000000000003</v>
      </c>
      <c r="M11">
        <v>627893</v>
      </c>
      <c r="N11">
        <v>-297.56299999999999</v>
      </c>
      <c r="O11">
        <v>73.510999999999996</v>
      </c>
      <c r="Q11">
        <v>650468</v>
      </c>
      <c r="R11">
        <v>-404.34300000000002</v>
      </c>
      <c r="S11">
        <v>96.085999999999999</v>
      </c>
      <c r="U11">
        <v>669105</v>
      </c>
      <c r="V11">
        <v>-498.66399999999999</v>
      </c>
      <c r="W11">
        <v>114.723</v>
      </c>
      <c r="Y11">
        <v>689841</v>
      </c>
      <c r="Z11">
        <v>-601.22799999999995</v>
      </c>
      <c r="AA11">
        <v>135.459</v>
      </c>
      <c r="AC11">
        <v>710839</v>
      </c>
      <c r="AD11">
        <v>-705.44500000000005</v>
      </c>
      <c r="AE11">
        <v>156.45699999999999</v>
      </c>
      <c r="AG11">
        <v>736562</v>
      </c>
      <c r="AH11">
        <v>-797.5</v>
      </c>
      <c r="AI11">
        <v>182.18</v>
      </c>
    </row>
    <row r="12" spans="1:35" x14ac:dyDescent="0.25">
      <c r="A12">
        <v>557007</v>
      </c>
      <c r="B12">
        <v>-1.085</v>
      </c>
      <c r="C12">
        <v>2.625</v>
      </c>
      <c r="E12">
        <v>579849</v>
      </c>
      <c r="F12">
        <v>-79.084000000000003</v>
      </c>
      <c r="G12">
        <v>25.466999999999999</v>
      </c>
      <c r="I12">
        <v>600853</v>
      </c>
      <c r="J12">
        <v>-184.04599999999999</v>
      </c>
      <c r="K12">
        <v>46.470999999999997</v>
      </c>
      <c r="M12">
        <v>628156</v>
      </c>
      <c r="N12">
        <v>-297.709</v>
      </c>
      <c r="O12">
        <v>73.774000000000001</v>
      </c>
      <c r="Q12">
        <v>650730</v>
      </c>
      <c r="R12">
        <v>-404.43</v>
      </c>
      <c r="S12">
        <v>96.347999999999999</v>
      </c>
      <c r="U12">
        <v>669367</v>
      </c>
      <c r="V12">
        <v>-497.952</v>
      </c>
      <c r="W12">
        <v>114.985</v>
      </c>
      <c r="Y12">
        <v>690103</v>
      </c>
      <c r="Z12">
        <v>-601.05499999999995</v>
      </c>
      <c r="AA12">
        <v>135.721</v>
      </c>
      <c r="AC12">
        <v>711102</v>
      </c>
      <c r="AD12">
        <v>-705.82399999999996</v>
      </c>
      <c r="AE12">
        <v>156.72</v>
      </c>
      <c r="AG12">
        <v>736825</v>
      </c>
      <c r="AH12">
        <v>-798.2</v>
      </c>
      <c r="AI12">
        <v>182.44300000000001</v>
      </c>
    </row>
    <row r="13" spans="1:35" x14ac:dyDescent="0.25">
      <c r="A13">
        <v>557270</v>
      </c>
      <c r="B13">
        <v>-1.306</v>
      </c>
      <c r="C13">
        <v>2.8879999999999999</v>
      </c>
      <c r="E13">
        <v>580112</v>
      </c>
      <c r="F13">
        <v>-79.191999999999993</v>
      </c>
      <c r="G13">
        <v>25.73</v>
      </c>
      <c r="I13">
        <v>601116</v>
      </c>
      <c r="J13">
        <v>-184.036</v>
      </c>
      <c r="K13">
        <v>46.734000000000002</v>
      </c>
      <c r="M13">
        <v>628418</v>
      </c>
      <c r="N13">
        <v>-297.90300000000002</v>
      </c>
      <c r="O13">
        <v>74.036000000000001</v>
      </c>
      <c r="Q13">
        <v>650993</v>
      </c>
      <c r="R13">
        <v>-404.04300000000001</v>
      </c>
      <c r="S13">
        <v>96.611000000000004</v>
      </c>
      <c r="U13">
        <v>669629</v>
      </c>
      <c r="V13">
        <v>-497.39400000000001</v>
      </c>
      <c r="W13">
        <v>115.247</v>
      </c>
      <c r="Y13">
        <v>690366</v>
      </c>
      <c r="Z13">
        <v>-600.84</v>
      </c>
      <c r="AA13">
        <v>135.98400000000001</v>
      </c>
      <c r="AC13">
        <v>711364</v>
      </c>
      <c r="AD13">
        <v>-706.09</v>
      </c>
      <c r="AE13">
        <v>156.982</v>
      </c>
      <c r="AG13">
        <v>737087</v>
      </c>
      <c r="AH13">
        <v>-798.20799999999997</v>
      </c>
      <c r="AI13">
        <v>182.70500000000001</v>
      </c>
    </row>
    <row r="14" spans="1:35" x14ac:dyDescent="0.25">
      <c r="A14">
        <v>557533</v>
      </c>
      <c r="B14">
        <v>-1.454</v>
      </c>
      <c r="C14">
        <v>3.1509999999999998</v>
      </c>
      <c r="E14">
        <v>580374</v>
      </c>
      <c r="F14">
        <v>-78.602000000000004</v>
      </c>
      <c r="G14">
        <v>25.992000000000001</v>
      </c>
      <c r="I14">
        <v>601378</v>
      </c>
      <c r="J14">
        <v>-183.61699999999999</v>
      </c>
      <c r="K14">
        <v>46.996000000000002</v>
      </c>
      <c r="M14">
        <v>628681</v>
      </c>
      <c r="N14">
        <v>-297.65300000000002</v>
      </c>
      <c r="O14">
        <v>74.299000000000007</v>
      </c>
      <c r="Q14">
        <v>651255</v>
      </c>
      <c r="R14">
        <v>-404.21100000000001</v>
      </c>
      <c r="S14">
        <v>96.873000000000005</v>
      </c>
      <c r="U14">
        <v>669892</v>
      </c>
      <c r="V14">
        <v>-497.41199999999998</v>
      </c>
      <c r="W14">
        <v>115.51</v>
      </c>
      <c r="Y14">
        <v>690628</v>
      </c>
      <c r="Z14">
        <v>-600.53399999999999</v>
      </c>
      <c r="AA14">
        <v>136.24600000000001</v>
      </c>
      <c r="AC14">
        <v>711627</v>
      </c>
      <c r="AD14">
        <v>-705.93200000000002</v>
      </c>
      <c r="AE14">
        <v>157.245</v>
      </c>
      <c r="AG14">
        <v>737350</v>
      </c>
      <c r="AH14">
        <v>-797.70399999999995</v>
      </c>
      <c r="AI14">
        <v>182.96799999999999</v>
      </c>
    </row>
    <row r="15" spans="1:35" x14ac:dyDescent="0.25">
      <c r="A15">
        <v>557795</v>
      </c>
      <c r="B15">
        <v>-1.3660000000000001</v>
      </c>
      <c r="C15">
        <v>3.4129999999999998</v>
      </c>
      <c r="E15">
        <v>580637</v>
      </c>
      <c r="F15">
        <v>-79.135999999999996</v>
      </c>
      <c r="G15">
        <v>26.254999999999999</v>
      </c>
      <c r="I15">
        <v>601641</v>
      </c>
      <c r="J15">
        <v>-183.48599999999999</v>
      </c>
      <c r="K15">
        <v>47.259</v>
      </c>
      <c r="M15">
        <v>628943</v>
      </c>
      <c r="N15">
        <v>-297.11599999999999</v>
      </c>
      <c r="O15">
        <v>74.561000000000007</v>
      </c>
      <c r="Q15">
        <v>651517</v>
      </c>
      <c r="R15">
        <v>-404.35899999999998</v>
      </c>
      <c r="S15">
        <v>97.135000000000005</v>
      </c>
      <c r="U15">
        <v>670155</v>
      </c>
      <c r="V15">
        <v>-497.93099999999998</v>
      </c>
      <c r="W15">
        <v>115.773</v>
      </c>
      <c r="Y15">
        <v>690891</v>
      </c>
      <c r="Z15">
        <v>-600.12199999999996</v>
      </c>
      <c r="AA15">
        <v>136.50899999999999</v>
      </c>
      <c r="AC15">
        <v>711889</v>
      </c>
      <c r="AD15">
        <v>-705.30499999999995</v>
      </c>
      <c r="AE15">
        <v>157.50700000000001</v>
      </c>
      <c r="AG15">
        <v>737612</v>
      </c>
      <c r="AH15">
        <v>-796.84199999999998</v>
      </c>
      <c r="AI15">
        <v>183.23</v>
      </c>
    </row>
    <row r="16" spans="1:35" x14ac:dyDescent="0.25">
      <c r="A16">
        <v>558058</v>
      </c>
      <c r="B16">
        <v>-1.1910000000000001</v>
      </c>
      <c r="C16">
        <v>3.6760000000000002</v>
      </c>
      <c r="E16">
        <v>580900</v>
      </c>
      <c r="F16">
        <v>-79.070999999999998</v>
      </c>
      <c r="G16">
        <v>26.518000000000001</v>
      </c>
      <c r="I16">
        <v>601903</v>
      </c>
      <c r="J16">
        <v>-183.49600000000001</v>
      </c>
      <c r="K16">
        <v>47.521000000000001</v>
      </c>
      <c r="M16">
        <v>629206</v>
      </c>
      <c r="N16">
        <v>-296.68400000000003</v>
      </c>
      <c r="O16">
        <v>74.823999999999998</v>
      </c>
      <c r="Q16">
        <v>651780</v>
      </c>
      <c r="R16">
        <v>-404.10300000000001</v>
      </c>
      <c r="S16">
        <v>97.397999999999996</v>
      </c>
      <c r="U16">
        <v>670417</v>
      </c>
      <c r="V16">
        <v>-498.24099999999999</v>
      </c>
      <c r="W16">
        <v>116.035</v>
      </c>
      <c r="Y16">
        <v>691153</v>
      </c>
      <c r="Z16">
        <v>-600.30700000000002</v>
      </c>
      <c r="AA16">
        <v>136.77099999999999</v>
      </c>
      <c r="AC16">
        <v>712152</v>
      </c>
      <c r="AD16">
        <v>-704.76599999999996</v>
      </c>
      <c r="AE16">
        <v>157.77000000000001</v>
      </c>
      <c r="AG16">
        <v>737875</v>
      </c>
      <c r="AH16">
        <v>-796.62800000000004</v>
      </c>
      <c r="AI16">
        <v>183.49299999999999</v>
      </c>
    </row>
    <row r="17" spans="1:35" x14ac:dyDescent="0.25">
      <c r="A17">
        <v>558320</v>
      </c>
      <c r="B17">
        <v>-1.256</v>
      </c>
      <c r="C17">
        <v>3.9380000000000002</v>
      </c>
      <c r="E17">
        <v>581162</v>
      </c>
      <c r="F17">
        <v>-79.087999999999994</v>
      </c>
      <c r="G17">
        <v>26.78</v>
      </c>
      <c r="I17">
        <v>602166</v>
      </c>
      <c r="J17">
        <v>-183.46899999999999</v>
      </c>
      <c r="K17">
        <v>47.783999999999999</v>
      </c>
      <c r="M17">
        <v>629468</v>
      </c>
      <c r="N17">
        <v>-296.72800000000001</v>
      </c>
      <c r="O17">
        <v>75.085999999999999</v>
      </c>
      <c r="Q17">
        <v>652042</v>
      </c>
      <c r="R17">
        <v>-403.54899999999998</v>
      </c>
      <c r="S17">
        <v>97.66</v>
      </c>
      <c r="U17">
        <v>670680</v>
      </c>
      <c r="V17">
        <v>-498.108</v>
      </c>
      <c r="W17">
        <v>116.298</v>
      </c>
      <c r="Y17">
        <v>691416</v>
      </c>
      <c r="Z17">
        <v>-599.87199999999996</v>
      </c>
      <c r="AA17">
        <v>137.03399999999999</v>
      </c>
      <c r="AC17">
        <v>712414</v>
      </c>
      <c r="AD17">
        <v>-704.90099999999995</v>
      </c>
      <c r="AE17">
        <v>158.03200000000001</v>
      </c>
      <c r="AG17">
        <v>738137</v>
      </c>
      <c r="AH17">
        <v>-796.86699999999996</v>
      </c>
      <c r="AI17">
        <v>183.755</v>
      </c>
    </row>
    <row r="18" spans="1:35" x14ac:dyDescent="0.25">
      <c r="A18">
        <v>558583</v>
      </c>
      <c r="B18">
        <v>-1.2769999999999999</v>
      </c>
      <c r="C18">
        <v>4.2009999999999996</v>
      </c>
      <c r="E18">
        <v>581425</v>
      </c>
      <c r="F18">
        <v>-79.091999999999999</v>
      </c>
      <c r="G18">
        <v>27.042999999999999</v>
      </c>
      <c r="I18">
        <v>602428</v>
      </c>
      <c r="J18">
        <v>-183.28399999999999</v>
      </c>
      <c r="K18">
        <v>48.045999999999999</v>
      </c>
      <c r="M18">
        <v>629731</v>
      </c>
      <c r="N18">
        <v>-297.291</v>
      </c>
      <c r="O18">
        <v>75.349000000000004</v>
      </c>
      <c r="Q18">
        <v>652305</v>
      </c>
      <c r="R18">
        <v>-403.40499999999997</v>
      </c>
      <c r="S18">
        <v>97.923000000000002</v>
      </c>
      <c r="U18">
        <v>670942</v>
      </c>
      <c r="V18">
        <v>-497.35199999999998</v>
      </c>
      <c r="W18">
        <v>116.56</v>
      </c>
      <c r="Y18">
        <v>691678</v>
      </c>
      <c r="Z18">
        <v>-599.48599999999999</v>
      </c>
      <c r="AA18">
        <v>137.29599999999999</v>
      </c>
      <c r="AC18">
        <v>712677</v>
      </c>
      <c r="AD18">
        <v>-705.38599999999997</v>
      </c>
      <c r="AE18">
        <v>158.29499999999999</v>
      </c>
      <c r="AG18">
        <v>738399</v>
      </c>
      <c r="AH18">
        <v>-797.63599999999997</v>
      </c>
      <c r="AI18">
        <v>184.017</v>
      </c>
    </row>
    <row r="19" spans="1:35" x14ac:dyDescent="0.25">
      <c r="A19">
        <v>558845</v>
      </c>
      <c r="B19">
        <v>-1.266</v>
      </c>
      <c r="C19">
        <v>4.4630000000000001</v>
      </c>
      <c r="E19">
        <v>581687</v>
      </c>
      <c r="F19">
        <v>-79.203999999999994</v>
      </c>
      <c r="G19">
        <v>27.305</v>
      </c>
      <c r="I19">
        <v>602691</v>
      </c>
      <c r="J19">
        <v>-183.209</v>
      </c>
      <c r="K19">
        <v>48.308999999999997</v>
      </c>
      <c r="M19">
        <v>629993</v>
      </c>
      <c r="N19">
        <v>-297.13</v>
      </c>
      <c r="O19">
        <v>75.611000000000004</v>
      </c>
      <c r="Q19">
        <v>652568</v>
      </c>
      <c r="R19">
        <v>-403.60500000000002</v>
      </c>
      <c r="S19">
        <v>98.186000000000007</v>
      </c>
      <c r="U19">
        <v>671205</v>
      </c>
      <c r="V19">
        <v>-496.96199999999999</v>
      </c>
      <c r="W19">
        <v>116.82299999999999</v>
      </c>
      <c r="Y19">
        <v>691941</v>
      </c>
      <c r="Z19">
        <v>-599.26099999999997</v>
      </c>
      <c r="AA19">
        <v>137.559</v>
      </c>
      <c r="AC19">
        <v>712939</v>
      </c>
      <c r="AD19">
        <v>-705.524</v>
      </c>
      <c r="AE19">
        <v>158.55699999999999</v>
      </c>
      <c r="AG19">
        <v>738662</v>
      </c>
      <c r="AH19">
        <v>-797.38599999999997</v>
      </c>
      <c r="AI19">
        <v>184.28</v>
      </c>
    </row>
    <row r="20" spans="1:35" x14ac:dyDescent="0.25">
      <c r="A20">
        <v>559108</v>
      </c>
      <c r="B20">
        <v>-1.1910000000000001</v>
      </c>
      <c r="C20">
        <v>4.726</v>
      </c>
      <c r="E20">
        <v>581950</v>
      </c>
      <c r="F20">
        <v>-79.222999999999999</v>
      </c>
      <c r="G20">
        <v>27.568000000000001</v>
      </c>
      <c r="I20">
        <v>602953</v>
      </c>
      <c r="J20">
        <v>-182.90100000000001</v>
      </c>
      <c r="K20">
        <v>48.570999999999998</v>
      </c>
      <c r="M20">
        <v>630255</v>
      </c>
      <c r="N20">
        <v>-296.86799999999999</v>
      </c>
      <c r="O20">
        <v>75.873000000000005</v>
      </c>
      <c r="Q20">
        <v>652830</v>
      </c>
      <c r="R20">
        <v>-403.94900000000001</v>
      </c>
      <c r="S20">
        <v>98.447999999999993</v>
      </c>
      <c r="U20">
        <v>671467</v>
      </c>
      <c r="V20">
        <v>-497.09199999999998</v>
      </c>
      <c r="W20">
        <v>117.08499999999999</v>
      </c>
      <c r="Y20">
        <v>692203</v>
      </c>
      <c r="Z20">
        <v>-599.38400000000001</v>
      </c>
      <c r="AA20">
        <v>137.821</v>
      </c>
      <c r="AC20">
        <v>713202</v>
      </c>
      <c r="AD20">
        <v>-704.89700000000005</v>
      </c>
      <c r="AE20">
        <v>158.82</v>
      </c>
      <c r="AG20">
        <v>738924</v>
      </c>
      <c r="AH20">
        <v>-796.44</v>
      </c>
      <c r="AI20">
        <v>184.542</v>
      </c>
    </row>
    <row r="21" spans="1:35" x14ac:dyDescent="0.25">
      <c r="A21">
        <v>559370</v>
      </c>
      <c r="B21">
        <v>-1.1160000000000001</v>
      </c>
      <c r="C21">
        <v>4.9880000000000004</v>
      </c>
      <c r="E21">
        <v>582212</v>
      </c>
      <c r="F21">
        <v>-79.287999999999997</v>
      </c>
      <c r="G21">
        <v>27.83</v>
      </c>
      <c r="I21">
        <v>603216</v>
      </c>
      <c r="J21">
        <v>-183.107</v>
      </c>
      <c r="K21">
        <v>48.834000000000003</v>
      </c>
      <c r="M21">
        <v>630518</v>
      </c>
      <c r="N21">
        <v>-296.23</v>
      </c>
      <c r="O21">
        <v>76.135999999999996</v>
      </c>
      <c r="Q21">
        <v>653093</v>
      </c>
      <c r="R21">
        <v>-403.70499999999998</v>
      </c>
      <c r="S21">
        <v>98.710999999999999</v>
      </c>
      <c r="U21">
        <v>671730</v>
      </c>
      <c r="V21">
        <v>-497.64400000000001</v>
      </c>
      <c r="W21">
        <v>117.348</v>
      </c>
      <c r="Y21">
        <v>692466</v>
      </c>
      <c r="Z21">
        <v>-599.21799999999996</v>
      </c>
      <c r="AA21">
        <v>138.084</v>
      </c>
      <c r="AC21">
        <v>713464</v>
      </c>
      <c r="AD21">
        <v>-704.322</v>
      </c>
      <c r="AE21">
        <v>159.08199999999999</v>
      </c>
      <c r="AG21">
        <v>739187</v>
      </c>
      <c r="AH21">
        <v>-796.13599999999997</v>
      </c>
      <c r="AI21">
        <v>184.80500000000001</v>
      </c>
    </row>
    <row r="22" spans="1:35" x14ac:dyDescent="0.25">
      <c r="A22">
        <v>559633</v>
      </c>
      <c r="B22">
        <v>-1.302</v>
      </c>
      <c r="C22">
        <v>5.2510000000000003</v>
      </c>
      <c r="E22">
        <v>582475</v>
      </c>
      <c r="F22">
        <v>-79.320999999999998</v>
      </c>
      <c r="G22">
        <v>28.093</v>
      </c>
      <c r="I22">
        <v>603478</v>
      </c>
      <c r="J22">
        <v>-183.15299999999999</v>
      </c>
      <c r="K22">
        <v>49.095999999999997</v>
      </c>
      <c r="M22">
        <v>630781</v>
      </c>
      <c r="N22">
        <v>-296.40300000000002</v>
      </c>
      <c r="O22">
        <v>76.399000000000001</v>
      </c>
      <c r="Q22">
        <v>653355</v>
      </c>
      <c r="R22">
        <v>-403.29899999999998</v>
      </c>
      <c r="S22">
        <v>98.972999999999999</v>
      </c>
      <c r="U22">
        <v>671992</v>
      </c>
      <c r="V22">
        <v>-497.92899999999997</v>
      </c>
      <c r="W22">
        <v>117.61</v>
      </c>
      <c r="Y22">
        <v>692728</v>
      </c>
      <c r="Z22">
        <v>-599.10900000000004</v>
      </c>
      <c r="AA22">
        <v>138.346</v>
      </c>
      <c r="AC22">
        <v>713726</v>
      </c>
      <c r="AD22">
        <v>-704.226</v>
      </c>
      <c r="AE22">
        <v>159.34399999999999</v>
      </c>
      <c r="AG22">
        <v>739449</v>
      </c>
      <c r="AH22">
        <v>-795.85500000000002</v>
      </c>
      <c r="AI22">
        <v>185.06700000000001</v>
      </c>
    </row>
    <row r="23" spans="1:35" x14ac:dyDescent="0.25">
      <c r="A23">
        <v>559896</v>
      </c>
      <c r="B23">
        <v>-1.1890000000000001</v>
      </c>
      <c r="C23">
        <v>5.5140000000000002</v>
      </c>
      <c r="E23">
        <v>582737</v>
      </c>
      <c r="F23">
        <v>-79.507999999999996</v>
      </c>
      <c r="G23">
        <v>28.355</v>
      </c>
      <c r="I23">
        <v>603741</v>
      </c>
      <c r="J23">
        <v>-182.976</v>
      </c>
      <c r="K23">
        <v>49.359000000000002</v>
      </c>
      <c r="M23">
        <v>631043</v>
      </c>
      <c r="N23">
        <v>-296.37400000000002</v>
      </c>
      <c r="O23">
        <v>76.661000000000001</v>
      </c>
      <c r="Q23">
        <v>653617</v>
      </c>
      <c r="R23">
        <v>-402.80500000000001</v>
      </c>
      <c r="S23">
        <v>99.234999999999999</v>
      </c>
      <c r="U23">
        <v>672254</v>
      </c>
      <c r="V23">
        <v>-497.541</v>
      </c>
      <c r="W23">
        <v>117.872</v>
      </c>
      <c r="Y23">
        <v>692991</v>
      </c>
      <c r="Z23">
        <v>-598.73900000000003</v>
      </c>
      <c r="AA23">
        <v>138.60900000000001</v>
      </c>
      <c r="AC23">
        <v>713989</v>
      </c>
      <c r="AD23">
        <v>-704.58199999999999</v>
      </c>
      <c r="AE23">
        <v>159.607</v>
      </c>
      <c r="AG23">
        <v>739712</v>
      </c>
      <c r="AH23">
        <v>-796.56299999999999</v>
      </c>
      <c r="AI23">
        <v>185.33</v>
      </c>
    </row>
    <row r="24" spans="1:35" x14ac:dyDescent="0.25">
      <c r="A24">
        <v>560158</v>
      </c>
      <c r="B24">
        <v>-1.26</v>
      </c>
      <c r="C24">
        <v>5.7759999999999998</v>
      </c>
      <c r="E24">
        <v>583000</v>
      </c>
      <c r="F24">
        <v>-79.531000000000006</v>
      </c>
      <c r="G24">
        <v>28.617999999999999</v>
      </c>
      <c r="I24">
        <v>604004</v>
      </c>
      <c r="J24">
        <v>-182.84899999999999</v>
      </c>
      <c r="K24">
        <v>49.622</v>
      </c>
      <c r="M24">
        <v>631305</v>
      </c>
      <c r="N24">
        <v>-296.61599999999999</v>
      </c>
      <c r="O24">
        <v>76.923000000000002</v>
      </c>
      <c r="Q24">
        <v>653880</v>
      </c>
      <c r="R24">
        <v>-402.85300000000001</v>
      </c>
      <c r="S24">
        <v>99.498000000000005</v>
      </c>
      <c r="U24">
        <v>672517</v>
      </c>
      <c r="V24">
        <v>-496.96899999999999</v>
      </c>
      <c r="W24">
        <v>118.13500000000001</v>
      </c>
      <c r="Y24">
        <v>693253</v>
      </c>
      <c r="Z24">
        <v>-598.87800000000004</v>
      </c>
      <c r="AA24">
        <v>138.87100000000001</v>
      </c>
      <c r="AC24">
        <v>714251</v>
      </c>
      <c r="AD24">
        <v>-705.053</v>
      </c>
      <c r="AE24">
        <v>159.869</v>
      </c>
      <c r="AG24">
        <v>739975</v>
      </c>
      <c r="AH24">
        <v>-797.01900000000001</v>
      </c>
      <c r="AI24">
        <v>185.59299999999999</v>
      </c>
    </row>
    <row r="25" spans="1:35" x14ac:dyDescent="0.25">
      <c r="A25">
        <v>560421</v>
      </c>
      <c r="B25">
        <v>-1.135</v>
      </c>
      <c r="C25">
        <v>6.0389999999999997</v>
      </c>
      <c r="E25">
        <v>583263</v>
      </c>
      <c r="F25">
        <v>-79.093999999999994</v>
      </c>
      <c r="G25">
        <v>28.881</v>
      </c>
      <c r="I25">
        <v>604266</v>
      </c>
      <c r="J25">
        <v>-182.64500000000001</v>
      </c>
      <c r="K25">
        <v>49.884</v>
      </c>
      <c r="M25">
        <v>631568</v>
      </c>
      <c r="N25">
        <v>-296.35500000000002</v>
      </c>
      <c r="O25">
        <v>77.186000000000007</v>
      </c>
      <c r="Q25">
        <v>654143</v>
      </c>
      <c r="R25">
        <v>-403.089</v>
      </c>
      <c r="S25">
        <v>99.760999999999996</v>
      </c>
      <c r="U25">
        <v>672779</v>
      </c>
      <c r="V25">
        <v>-496.84199999999998</v>
      </c>
      <c r="W25">
        <v>118.39700000000001</v>
      </c>
      <c r="Y25">
        <v>693516</v>
      </c>
      <c r="Z25">
        <v>-598.54300000000001</v>
      </c>
      <c r="AA25">
        <v>139.13399999999999</v>
      </c>
      <c r="AC25">
        <v>714514</v>
      </c>
      <c r="AD25">
        <v>-705.072</v>
      </c>
      <c r="AE25">
        <v>160.13200000000001</v>
      </c>
      <c r="AG25">
        <v>740237</v>
      </c>
      <c r="AH25">
        <v>-796.69399999999996</v>
      </c>
      <c r="AI25">
        <v>185.85499999999999</v>
      </c>
    </row>
    <row r="26" spans="1:35" x14ac:dyDescent="0.25">
      <c r="A26">
        <v>560683</v>
      </c>
      <c r="B26">
        <v>-1.2230000000000001</v>
      </c>
      <c r="C26">
        <v>6.3010000000000002</v>
      </c>
      <c r="E26">
        <v>583525</v>
      </c>
      <c r="F26">
        <v>-79.554000000000002</v>
      </c>
      <c r="G26">
        <v>29.143000000000001</v>
      </c>
      <c r="I26">
        <v>604529</v>
      </c>
      <c r="J26">
        <v>-182.89500000000001</v>
      </c>
      <c r="K26">
        <v>50.146999999999998</v>
      </c>
      <c r="M26">
        <v>631830</v>
      </c>
      <c r="N26">
        <v>-295.79500000000002</v>
      </c>
      <c r="O26">
        <v>77.447999999999993</v>
      </c>
      <c r="Q26">
        <v>654405</v>
      </c>
      <c r="R26">
        <v>-403.24900000000002</v>
      </c>
      <c r="S26">
        <v>100.023</v>
      </c>
      <c r="U26">
        <v>673042</v>
      </c>
      <c r="V26">
        <v>-497.40199999999999</v>
      </c>
      <c r="W26">
        <v>118.66</v>
      </c>
      <c r="Y26">
        <v>693778</v>
      </c>
      <c r="Z26">
        <v>-598.26</v>
      </c>
      <c r="AA26">
        <v>139.39599999999999</v>
      </c>
      <c r="AC26">
        <v>714776</v>
      </c>
      <c r="AD26">
        <v>-704.26599999999996</v>
      </c>
      <c r="AE26">
        <v>160.39400000000001</v>
      </c>
      <c r="AG26">
        <v>740500</v>
      </c>
      <c r="AH26">
        <v>-796.32100000000003</v>
      </c>
      <c r="AI26">
        <v>186.11799999999999</v>
      </c>
    </row>
    <row r="27" spans="1:35" x14ac:dyDescent="0.25">
      <c r="A27">
        <v>560946</v>
      </c>
      <c r="B27">
        <v>-1.177</v>
      </c>
      <c r="C27">
        <v>6.5640000000000001</v>
      </c>
      <c r="E27">
        <v>583788</v>
      </c>
      <c r="F27">
        <v>-79.411000000000001</v>
      </c>
      <c r="G27">
        <v>29.405999999999999</v>
      </c>
      <c r="I27">
        <v>604791</v>
      </c>
      <c r="J27">
        <v>-182.56800000000001</v>
      </c>
      <c r="K27">
        <v>50.408999999999999</v>
      </c>
      <c r="M27">
        <v>632093</v>
      </c>
      <c r="N27">
        <v>-295.67</v>
      </c>
      <c r="O27">
        <v>77.710999999999999</v>
      </c>
      <c r="Q27">
        <v>654667</v>
      </c>
      <c r="R27">
        <v>-402.99099999999999</v>
      </c>
      <c r="S27">
        <v>100.285</v>
      </c>
      <c r="U27">
        <v>673304</v>
      </c>
      <c r="V27">
        <v>-497.89600000000002</v>
      </c>
      <c r="W27">
        <v>118.922</v>
      </c>
      <c r="Y27">
        <v>694041</v>
      </c>
      <c r="Z27">
        <v>-598.38199999999995</v>
      </c>
      <c r="AA27">
        <v>139.65899999999999</v>
      </c>
      <c r="AC27">
        <v>715039</v>
      </c>
      <c r="AD27">
        <v>-703.77</v>
      </c>
      <c r="AE27">
        <v>160.65700000000001</v>
      </c>
      <c r="AG27">
        <v>740762</v>
      </c>
      <c r="AH27">
        <v>-795.54</v>
      </c>
      <c r="AI27">
        <v>186.38</v>
      </c>
    </row>
    <row r="28" spans="1:35" x14ac:dyDescent="0.25">
      <c r="A28">
        <v>561209</v>
      </c>
      <c r="B28">
        <v>-1.31</v>
      </c>
      <c r="C28">
        <v>6.827</v>
      </c>
      <c r="E28">
        <v>584050</v>
      </c>
      <c r="F28">
        <v>-79.596000000000004</v>
      </c>
      <c r="G28">
        <v>29.667999999999999</v>
      </c>
      <c r="I28">
        <v>605054</v>
      </c>
      <c r="J28">
        <v>-182.50700000000001</v>
      </c>
      <c r="K28">
        <v>50.671999999999997</v>
      </c>
      <c r="M28">
        <v>632356</v>
      </c>
      <c r="N28">
        <v>-295.76400000000001</v>
      </c>
      <c r="O28">
        <v>77.974000000000004</v>
      </c>
      <c r="Q28">
        <v>654930</v>
      </c>
      <c r="R28">
        <v>-402.52199999999999</v>
      </c>
      <c r="S28">
        <v>100.548</v>
      </c>
      <c r="U28">
        <v>673567</v>
      </c>
      <c r="V28">
        <v>-497.93700000000001</v>
      </c>
      <c r="W28">
        <v>119.185</v>
      </c>
      <c r="Y28">
        <v>694303</v>
      </c>
      <c r="Z28">
        <v>-598.33900000000006</v>
      </c>
      <c r="AA28">
        <v>139.92099999999999</v>
      </c>
      <c r="AC28">
        <v>715301</v>
      </c>
      <c r="AD28">
        <v>-703.66399999999999</v>
      </c>
      <c r="AE28">
        <v>160.91900000000001</v>
      </c>
      <c r="AG28">
        <v>741025</v>
      </c>
      <c r="AH28">
        <v>-795.85900000000004</v>
      </c>
      <c r="AI28">
        <v>186.643</v>
      </c>
    </row>
    <row r="29" spans="1:35" x14ac:dyDescent="0.25">
      <c r="A29">
        <v>561471</v>
      </c>
      <c r="B29">
        <v>-1.0960000000000001</v>
      </c>
      <c r="C29">
        <v>7.0890000000000004</v>
      </c>
      <c r="E29">
        <v>584313</v>
      </c>
      <c r="F29">
        <v>-79.591999999999999</v>
      </c>
      <c r="G29">
        <v>29.931000000000001</v>
      </c>
      <c r="I29">
        <v>605316</v>
      </c>
      <c r="J29">
        <v>-182.601</v>
      </c>
      <c r="K29">
        <v>50.933999999999997</v>
      </c>
      <c r="M29">
        <v>632618</v>
      </c>
      <c r="N29">
        <v>-295.90300000000002</v>
      </c>
      <c r="O29">
        <v>78.236000000000004</v>
      </c>
      <c r="Q29">
        <v>655192</v>
      </c>
      <c r="R29">
        <v>-402.608</v>
      </c>
      <c r="S29">
        <v>100.81</v>
      </c>
      <c r="U29">
        <v>673829</v>
      </c>
      <c r="V29">
        <v>-497.51400000000001</v>
      </c>
      <c r="W29">
        <v>119.447</v>
      </c>
      <c r="Y29">
        <v>694566</v>
      </c>
      <c r="Z29">
        <v>-598.15300000000002</v>
      </c>
      <c r="AA29">
        <v>140.184</v>
      </c>
      <c r="AC29">
        <v>715564</v>
      </c>
      <c r="AD29">
        <v>-704.21199999999999</v>
      </c>
      <c r="AE29">
        <v>161.18199999999999</v>
      </c>
      <c r="AG29">
        <v>741287</v>
      </c>
      <c r="AH29">
        <v>-796.26700000000005</v>
      </c>
      <c r="AI29">
        <v>186.905</v>
      </c>
    </row>
    <row r="30" spans="1:35" x14ac:dyDescent="0.25">
      <c r="A30">
        <v>561734</v>
      </c>
      <c r="B30">
        <v>-1.121</v>
      </c>
      <c r="C30">
        <v>7.3520000000000003</v>
      </c>
      <c r="E30">
        <v>584575</v>
      </c>
      <c r="F30">
        <v>-79.3</v>
      </c>
      <c r="G30">
        <v>30.193000000000001</v>
      </c>
      <c r="I30">
        <v>605579</v>
      </c>
      <c r="J30">
        <v>-182.47800000000001</v>
      </c>
      <c r="K30">
        <v>51.197000000000003</v>
      </c>
      <c r="M30">
        <v>632880</v>
      </c>
      <c r="N30">
        <v>-296.08699999999999</v>
      </c>
      <c r="O30">
        <v>78.498000000000005</v>
      </c>
      <c r="Q30">
        <v>655455</v>
      </c>
      <c r="R30">
        <v>-402.726</v>
      </c>
      <c r="S30">
        <v>101.07299999999999</v>
      </c>
      <c r="U30">
        <v>674092</v>
      </c>
      <c r="V30">
        <v>-497.03699999999998</v>
      </c>
      <c r="W30">
        <v>119.71</v>
      </c>
      <c r="Y30">
        <v>694828</v>
      </c>
      <c r="Z30">
        <v>-598.06200000000001</v>
      </c>
      <c r="AA30">
        <v>140.446</v>
      </c>
      <c r="AC30">
        <v>715826</v>
      </c>
      <c r="AD30">
        <v>-704.78200000000004</v>
      </c>
      <c r="AE30">
        <v>161.44399999999999</v>
      </c>
      <c r="AG30">
        <v>741550</v>
      </c>
      <c r="AH30">
        <v>-796.83799999999997</v>
      </c>
      <c r="AI30">
        <v>187.16800000000001</v>
      </c>
    </row>
    <row r="31" spans="1:35" x14ac:dyDescent="0.25">
      <c r="A31">
        <v>561996</v>
      </c>
      <c r="B31">
        <v>-1.089</v>
      </c>
      <c r="C31">
        <v>7.6139999999999999</v>
      </c>
      <c r="E31">
        <v>584838</v>
      </c>
      <c r="F31">
        <v>-79.599999999999994</v>
      </c>
      <c r="G31">
        <v>30.456</v>
      </c>
      <c r="I31">
        <v>605841</v>
      </c>
      <c r="J31">
        <v>-182.54300000000001</v>
      </c>
      <c r="K31">
        <v>51.459000000000003</v>
      </c>
      <c r="M31">
        <v>633143</v>
      </c>
      <c r="N31">
        <v>-295.81</v>
      </c>
      <c r="O31">
        <v>78.760999999999996</v>
      </c>
      <c r="Q31">
        <v>655717</v>
      </c>
      <c r="R31">
        <v>-402.94299999999998</v>
      </c>
      <c r="S31">
        <v>101.33499999999999</v>
      </c>
      <c r="U31">
        <v>674355</v>
      </c>
      <c r="V31">
        <v>-497.09399999999999</v>
      </c>
      <c r="W31">
        <v>119.973</v>
      </c>
      <c r="Y31">
        <v>695091</v>
      </c>
      <c r="Z31">
        <v>-597.88300000000004</v>
      </c>
      <c r="AA31">
        <v>140.709</v>
      </c>
      <c r="AC31">
        <v>716089</v>
      </c>
      <c r="AD31">
        <v>-704.05799999999999</v>
      </c>
      <c r="AE31">
        <v>161.70699999999999</v>
      </c>
      <c r="AG31">
        <v>741812</v>
      </c>
      <c r="AH31">
        <v>-795.97799999999995</v>
      </c>
      <c r="AI31">
        <v>187.43</v>
      </c>
    </row>
    <row r="32" spans="1:35" x14ac:dyDescent="0.25">
      <c r="A32">
        <v>562259</v>
      </c>
      <c r="B32">
        <v>-1.1579999999999999</v>
      </c>
      <c r="C32">
        <v>7.8769999999999998</v>
      </c>
      <c r="E32">
        <v>585100</v>
      </c>
      <c r="F32">
        <v>-79.134</v>
      </c>
      <c r="G32">
        <v>30.718</v>
      </c>
      <c r="I32">
        <v>606104</v>
      </c>
      <c r="J32">
        <v>-182.643</v>
      </c>
      <c r="K32">
        <v>51.722000000000001</v>
      </c>
      <c r="M32">
        <v>633406</v>
      </c>
      <c r="N32">
        <v>-295.07900000000001</v>
      </c>
      <c r="O32">
        <v>79.024000000000001</v>
      </c>
      <c r="Q32">
        <v>655980</v>
      </c>
      <c r="R32">
        <v>-403.01</v>
      </c>
      <c r="S32">
        <v>101.598</v>
      </c>
      <c r="U32">
        <v>674617</v>
      </c>
      <c r="V32">
        <v>-497.71899999999999</v>
      </c>
      <c r="W32">
        <v>120.235</v>
      </c>
      <c r="Y32">
        <v>695353</v>
      </c>
      <c r="Z32">
        <v>-597.80799999999999</v>
      </c>
      <c r="AA32">
        <v>140.971</v>
      </c>
      <c r="AC32">
        <v>716351</v>
      </c>
      <c r="AD32">
        <v>-703.56200000000001</v>
      </c>
      <c r="AE32">
        <v>161.96899999999999</v>
      </c>
      <c r="AG32">
        <v>742074</v>
      </c>
      <c r="AH32">
        <v>-795.73800000000006</v>
      </c>
      <c r="AI32">
        <v>187.69200000000001</v>
      </c>
    </row>
    <row r="33" spans="1:35" x14ac:dyDescent="0.25">
      <c r="A33">
        <v>562521</v>
      </c>
      <c r="B33">
        <v>-1.1659999999999999</v>
      </c>
      <c r="C33">
        <v>8.1389999999999993</v>
      </c>
      <c r="E33">
        <v>585363</v>
      </c>
      <c r="F33">
        <v>-79.248000000000005</v>
      </c>
      <c r="G33">
        <v>30.981000000000002</v>
      </c>
      <c r="I33">
        <v>606366</v>
      </c>
      <c r="J33">
        <v>-182.655</v>
      </c>
      <c r="K33">
        <v>51.984000000000002</v>
      </c>
      <c r="M33">
        <v>633668</v>
      </c>
      <c r="N33">
        <v>-295.20800000000003</v>
      </c>
      <c r="O33">
        <v>79.286000000000001</v>
      </c>
      <c r="Q33">
        <v>656242</v>
      </c>
      <c r="R33">
        <v>-402.93900000000002</v>
      </c>
      <c r="S33">
        <v>101.86</v>
      </c>
      <c r="U33">
        <v>674879</v>
      </c>
      <c r="V33">
        <v>-498.08100000000002</v>
      </c>
      <c r="W33">
        <v>120.497</v>
      </c>
      <c r="Y33">
        <v>695616</v>
      </c>
      <c r="Z33">
        <v>-597.61400000000003</v>
      </c>
      <c r="AA33">
        <v>141.23400000000001</v>
      </c>
      <c r="AC33">
        <v>716614</v>
      </c>
      <c r="AD33">
        <v>-703.26800000000003</v>
      </c>
      <c r="AE33">
        <v>162.232</v>
      </c>
      <c r="AG33">
        <v>742337</v>
      </c>
      <c r="AH33">
        <v>-795.59199999999998</v>
      </c>
      <c r="AI33">
        <v>187.95500000000001</v>
      </c>
    </row>
    <row r="34" spans="1:35" x14ac:dyDescent="0.25">
      <c r="A34">
        <v>562784</v>
      </c>
      <c r="B34">
        <v>-1.298</v>
      </c>
      <c r="C34">
        <v>8.4019999999999992</v>
      </c>
      <c r="E34">
        <v>585625</v>
      </c>
      <c r="F34">
        <v>-79.358000000000004</v>
      </c>
      <c r="G34">
        <v>31.242999999999999</v>
      </c>
      <c r="I34">
        <v>606629</v>
      </c>
      <c r="J34">
        <v>-182.43799999999999</v>
      </c>
      <c r="K34">
        <v>52.247</v>
      </c>
      <c r="M34">
        <v>633930</v>
      </c>
      <c r="N34">
        <v>-295.53300000000002</v>
      </c>
      <c r="O34">
        <v>79.548000000000002</v>
      </c>
      <c r="Q34">
        <v>656505</v>
      </c>
      <c r="R34">
        <v>-402.31400000000002</v>
      </c>
      <c r="S34">
        <v>102.123</v>
      </c>
      <c r="U34">
        <v>675142</v>
      </c>
      <c r="V34">
        <v>-497.77300000000002</v>
      </c>
      <c r="W34">
        <v>120.76</v>
      </c>
      <c r="Y34">
        <v>695878</v>
      </c>
      <c r="Z34">
        <v>-597.65300000000002</v>
      </c>
      <c r="AA34">
        <v>141.49600000000001</v>
      </c>
      <c r="AC34">
        <v>716876</v>
      </c>
      <c r="AD34">
        <v>-703.399</v>
      </c>
      <c r="AE34">
        <v>162.494</v>
      </c>
      <c r="AG34">
        <v>742599</v>
      </c>
      <c r="AH34">
        <v>-795.75099999999998</v>
      </c>
      <c r="AI34">
        <v>188.21700000000001</v>
      </c>
    </row>
    <row r="35" spans="1:35" x14ac:dyDescent="0.25">
      <c r="A35">
        <v>563046</v>
      </c>
      <c r="B35">
        <v>-1.1000000000000001</v>
      </c>
      <c r="C35">
        <v>8.6639999999999997</v>
      </c>
      <c r="E35">
        <v>585888</v>
      </c>
      <c r="F35">
        <v>-79.486000000000004</v>
      </c>
      <c r="G35">
        <v>31.506</v>
      </c>
      <c r="I35">
        <v>606891</v>
      </c>
      <c r="J35">
        <v>-182.38399999999999</v>
      </c>
      <c r="K35">
        <v>52.509</v>
      </c>
      <c r="M35">
        <v>634193</v>
      </c>
      <c r="N35">
        <v>-295.70100000000002</v>
      </c>
      <c r="O35">
        <v>79.811000000000007</v>
      </c>
      <c r="Q35">
        <v>656767</v>
      </c>
      <c r="R35">
        <v>-402.56200000000001</v>
      </c>
      <c r="S35">
        <v>102.38500000000001</v>
      </c>
      <c r="U35">
        <v>675404</v>
      </c>
      <c r="V35">
        <v>-497.35599999999999</v>
      </c>
      <c r="W35">
        <v>121.02200000000001</v>
      </c>
      <c r="Y35">
        <v>696141</v>
      </c>
      <c r="Z35">
        <v>-597.73</v>
      </c>
      <c r="AA35">
        <v>141.75899999999999</v>
      </c>
      <c r="AC35">
        <v>717139</v>
      </c>
      <c r="AD35">
        <v>-704.03899999999999</v>
      </c>
      <c r="AE35">
        <v>162.75700000000001</v>
      </c>
      <c r="AG35">
        <v>742862</v>
      </c>
      <c r="AH35">
        <v>-795.44899999999996</v>
      </c>
      <c r="AI35">
        <v>188.48</v>
      </c>
    </row>
    <row r="36" spans="1:35" x14ac:dyDescent="0.25">
      <c r="A36">
        <v>563309</v>
      </c>
      <c r="B36">
        <v>-0.79400000000000004</v>
      </c>
      <c r="C36">
        <v>8.9269999999999996</v>
      </c>
      <c r="E36">
        <v>586150</v>
      </c>
      <c r="F36">
        <v>-79.335999999999999</v>
      </c>
      <c r="G36">
        <v>31.768000000000001</v>
      </c>
      <c r="I36">
        <v>607154</v>
      </c>
      <c r="J36">
        <v>-182.54300000000001</v>
      </c>
      <c r="K36">
        <v>52.771999999999998</v>
      </c>
      <c r="M36">
        <v>634455</v>
      </c>
      <c r="N36">
        <v>-295.61599999999999</v>
      </c>
      <c r="O36">
        <v>80.072999999999993</v>
      </c>
      <c r="Q36">
        <v>657030</v>
      </c>
      <c r="R36">
        <v>-403.04500000000002</v>
      </c>
      <c r="S36">
        <v>102.648</v>
      </c>
      <c r="U36">
        <v>675667</v>
      </c>
      <c r="V36">
        <v>-497.09199999999998</v>
      </c>
      <c r="W36">
        <v>121.285</v>
      </c>
      <c r="Y36">
        <v>696403</v>
      </c>
      <c r="Z36">
        <v>-597.44899999999996</v>
      </c>
      <c r="AA36">
        <v>142.02099999999999</v>
      </c>
      <c r="AC36">
        <v>717401</v>
      </c>
      <c r="AD36">
        <v>-703.81600000000003</v>
      </c>
      <c r="AE36">
        <v>163.01900000000001</v>
      </c>
      <c r="AG36">
        <v>743124</v>
      </c>
      <c r="AH36">
        <v>-795.65499999999997</v>
      </c>
      <c r="AI36">
        <v>188.74199999999999</v>
      </c>
    </row>
    <row r="37" spans="1:35" x14ac:dyDescent="0.25">
      <c r="A37">
        <v>563571</v>
      </c>
      <c r="B37">
        <v>-1.4370000000000001</v>
      </c>
      <c r="C37">
        <v>9.1890000000000001</v>
      </c>
      <c r="E37">
        <v>586413</v>
      </c>
      <c r="F37">
        <v>-79.293999999999997</v>
      </c>
      <c r="G37">
        <v>32.030999999999999</v>
      </c>
      <c r="I37">
        <v>607416</v>
      </c>
      <c r="J37">
        <v>-182.66800000000001</v>
      </c>
      <c r="K37">
        <v>53.033999999999999</v>
      </c>
      <c r="M37">
        <v>634718</v>
      </c>
      <c r="N37">
        <v>-295.36799999999999</v>
      </c>
      <c r="O37">
        <v>80.335999999999999</v>
      </c>
      <c r="Q37">
        <v>657292</v>
      </c>
      <c r="R37">
        <v>-403.31400000000002</v>
      </c>
      <c r="S37">
        <v>102.91</v>
      </c>
      <c r="U37">
        <v>675929</v>
      </c>
      <c r="V37">
        <v>-497.44200000000001</v>
      </c>
      <c r="W37">
        <v>121.547</v>
      </c>
      <c r="Y37">
        <v>696666</v>
      </c>
      <c r="Z37">
        <v>-597.65099999999995</v>
      </c>
      <c r="AA37">
        <v>142.28399999999999</v>
      </c>
      <c r="AC37">
        <v>717664</v>
      </c>
      <c r="AD37">
        <v>-703.29100000000005</v>
      </c>
      <c r="AE37">
        <v>163.28200000000001</v>
      </c>
      <c r="AG37">
        <v>743387</v>
      </c>
      <c r="AH37">
        <v>-795.52800000000002</v>
      </c>
      <c r="AI37">
        <v>189.005</v>
      </c>
    </row>
    <row r="38" spans="1:35" x14ac:dyDescent="0.25">
      <c r="A38">
        <v>563834</v>
      </c>
      <c r="B38">
        <v>-0.875</v>
      </c>
      <c r="C38">
        <v>9.452</v>
      </c>
      <c r="E38">
        <v>586675</v>
      </c>
      <c r="F38">
        <v>-79.147999999999996</v>
      </c>
      <c r="G38">
        <v>32.292999999999999</v>
      </c>
      <c r="I38">
        <v>607679</v>
      </c>
      <c r="J38">
        <v>-182.655</v>
      </c>
      <c r="K38">
        <v>53.296999999999997</v>
      </c>
      <c r="M38">
        <v>634980</v>
      </c>
      <c r="N38">
        <v>-294.99299999999999</v>
      </c>
      <c r="O38">
        <v>80.597999999999999</v>
      </c>
      <c r="Q38">
        <v>657555</v>
      </c>
      <c r="R38">
        <v>-403.06599999999997</v>
      </c>
      <c r="S38">
        <v>103.173</v>
      </c>
      <c r="U38">
        <v>676192</v>
      </c>
      <c r="V38">
        <v>-498.11</v>
      </c>
      <c r="W38">
        <v>121.81</v>
      </c>
      <c r="Y38">
        <v>696928</v>
      </c>
      <c r="Z38">
        <v>-597.25300000000004</v>
      </c>
      <c r="AA38">
        <v>142.54599999999999</v>
      </c>
      <c r="AC38">
        <v>717926</v>
      </c>
      <c r="AD38">
        <v>-702.75</v>
      </c>
      <c r="AE38">
        <v>163.54400000000001</v>
      </c>
      <c r="AG38">
        <v>743649</v>
      </c>
      <c r="AH38">
        <v>-795.572</v>
      </c>
      <c r="AI38">
        <v>189.267</v>
      </c>
    </row>
    <row r="39" spans="1:35" x14ac:dyDescent="0.25">
      <c r="A39">
        <v>564096</v>
      </c>
      <c r="B39">
        <v>-1.087</v>
      </c>
      <c r="C39">
        <v>9.7140000000000004</v>
      </c>
      <c r="E39">
        <v>586938</v>
      </c>
      <c r="F39">
        <v>-79.064999999999998</v>
      </c>
      <c r="G39">
        <v>32.555999999999997</v>
      </c>
      <c r="I39">
        <v>607942</v>
      </c>
      <c r="J39">
        <v>-182.44900000000001</v>
      </c>
      <c r="K39">
        <v>53.56</v>
      </c>
      <c r="M39">
        <v>635243</v>
      </c>
      <c r="N39">
        <v>-295.05799999999999</v>
      </c>
      <c r="O39">
        <v>80.861000000000004</v>
      </c>
      <c r="Q39">
        <v>657817</v>
      </c>
      <c r="R39">
        <v>-402.88</v>
      </c>
      <c r="S39">
        <v>103.435</v>
      </c>
      <c r="U39">
        <v>676454</v>
      </c>
      <c r="V39">
        <v>-498.33300000000003</v>
      </c>
      <c r="W39">
        <v>122.072</v>
      </c>
      <c r="Y39">
        <v>697190</v>
      </c>
      <c r="Z39">
        <v>-597.14700000000005</v>
      </c>
      <c r="AA39">
        <v>142.80799999999999</v>
      </c>
      <c r="AC39">
        <v>718189</v>
      </c>
      <c r="AD39">
        <v>-702.82899999999995</v>
      </c>
      <c r="AE39">
        <v>163.80699999999999</v>
      </c>
      <c r="AG39">
        <v>743912</v>
      </c>
      <c r="AH39">
        <v>-795.197</v>
      </c>
      <c r="AI39">
        <v>189.53</v>
      </c>
    </row>
    <row r="40" spans="1:35" x14ac:dyDescent="0.25">
      <c r="A40">
        <v>564359</v>
      </c>
      <c r="B40">
        <v>-0.97499999999999998</v>
      </c>
      <c r="C40">
        <v>9.9770000000000003</v>
      </c>
      <c r="E40">
        <v>587201</v>
      </c>
      <c r="F40">
        <v>-79.418999999999997</v>
      </c>
      <c r="G40">
        <v>32.819000000000003</v>
      </c>
      <c r="I40">
        <v>608204</v>
      </c>
      <c r="J40">
        <v>-182.44499999999999</v>
      </c>
      <c r="K40">
        <v>53.822000000000003</v>
      </c>
      <c r="M40">
        <v>635505</v>
      </c>
      <c r="N40">
        <v>-295.22000000000003</v>
      </c>
      <c r="O40">
        <v>81.123000000000005</v>
      </c>
      <c r="Q40">
        <v>658080</v>
      </c>
      <c r="R40">
        <v>-402.70100000000002</v>
      </c>
      <c r="S40">
        <v>103.69799999999999</v>
      </c>
      <c r="U40">
        <v>676717</v>
      </c>
      <c r="V40">
        <v>-497.85</v>
      </c>
      <c r="W40">
        <v>122.33499999999999</v>
      </c>
      <c r="Y40">
        <v>697453</v>
      </c>
      <c r="Z40">
        <v>-597.09299999999996</v>
      </c>
      <c r="AA40">
        <v>143.071</v>
      </c>
      <c r="AC40">
        <v>718451</v>
      </c>
      <c r="AD40">
        <v>-703.24099999999999</v>
      </c>
      <c r="AE40">
        <v>164.06899999999999</v>
      </c>
      <c r="AG40">
        <v>744175</v>
      </c>
      <c r="AH40">
        <v>-795.37</v>
      </c>
      <c r="AI40">
        <v>189.79300000000001</v>
      </c>
    </row>
    <row r="41" spans="1:35" x14ac:dyDescent="0.25">
      <c r="A41">
        <v>564622</v>
      </c>
      <c r="B41">
        <v>-1.1890000000000001</v>
      </c>
      <c r="C41">
        <v>10.24</v>
      </c>
      <c r="E41">
        <v>587463</v>
      </c>
      <c r="F41">
        <v>-79.004000000000005</v>
      </c>
      <c r="G41">
        <v>33.081000000000003</v>
      </c>
      <c r="I41">
        <v>608467</v>
      </c>
      <c r="J41">
        <v>-182.518</v>
      </c>
      <c r="K41">
        <v>54.085000000000001</v>
      </c>
      <c r="M41">
        <v>635768</v>
      </c>
      <c r="N41">
        <v>-295.40100000000001</v>
      </c>
      <c r="O41">
        <v>81.385999999999996</v>
      </c>
      <c r="Q41">
        <v>658342</v>
      </c>
      <c r="R41">
        <v>-402.97199999999998</v>
      </c>
      <c r="S41">
        <v>103.96</v>
      </c>
      <c r="U41">
        <v>676979</v>
      </c>
      <c r="V41">
        <v>-497.32499999999999</v>
      </c>
      <c r="W41">
        <v>122.59699999999999</v>
      </c>
      <c r="Y41">
        <v>697715</v>
      </c>
      <c r="Z41">
        <v>-597.35799999999995</v>
      </c>
      <c r="AA41">
        <v>143.333</v>
      </c>
      <c r="AC41">
        <v>718713</v>
      </c>
      <c r="AD41">
        <v>-703.63300000000004</v>
      </c>
      <c r="AE41">
        <v>164.33099999999999</v>
      </c>
      <c r="AG41">
        <v>744437</v>
      </c>
      <c r="AH41">
        <v>-795.322</v>
      </c>
      <c r="AI41">
        <v>190.05500000000001</v>
      </c>
    </row>
    <row r="42" spans="1:35" x14ac:dyDescent="0.25">
      <c r="A42">
        <v>564884</v>
      </c>
      <c r="B42">
        <v>-1.044</v>
      </c>
      <c r="C42">
        <v>10.502000000000001</v>
      </c>
      <c r="E42">
        <v>587726</v>
      </c>
      <c r="F42">
        <v>-78.808999999999997</v>
      </c>
      <c r="G42">
        <v>33.344000000000001</v>
      </c>
      <c r="I42">
        <v>608729</v>
      </c>
      <c r="J42">
        <v>-182.40100000000001</v>
      </c>
      <c r="K42">
        <v>54.347000000000001</v>
      </c>
      <c r="M42">
        <v>636030</v>
      </c>
      <c r="N42">
        <v>-295.16199999999998</v>
      </c>
      <c r="O42">
        <v>81.647999999999996</v>
      </c>
      <c r="Q42">
        <v>658605</v>
      </c>
      <c r="R42">
        <v>-403.255</v>
      </c>
      <c r="S42">
        <v>104.223</v>
      </c>
      <c r="U42">
        <v>677242</v>
      </c>
      <c r="V42">
        <v>-497.24599999999998</v>
      </c>
      <c r="W42">
        <v>122.86</v>
      </c>
      <c r="Y42">
        <v>697978</v>
      </c>
      <c r="Z42">
        <v>-597.13300000000004</v>
      </c>
      <c r="AA42">
        <v>143.596</v>
      </c>
      <c r="AC42">
        <v>718976</v>
      </c>
      <c r="AD42">
        <v>-703.40599999999995</v>
      </c>
      <c r="AE42">
        <v>164.59399999999999</v>
      </c>
      <c r="AG42">
        <v>744699</v>
      </c>
      <c r="AH42">
        <v>-795.36300000000006</v>
      </c>
      <c r="AI42">
        <v>190.31700000000001</v>
      </c>
    </row>
    <row r="43" spans="1:35" x14ac:dyDescent="0.25">
      <c r="A43">
        <v>565147</v>
      </c>
      <c r="B43">
        <v>-1.1080000000000001</v>
      </c>
      <c r="C43">
        <v>10.765000000000001</v>
      </c>
      <c r="E43">
        <v>587988</v>
      </c>
      <c r="F43">
        <v>-79.063000000000002</v>
      </c>
      <c r="G43">
        <v>33.606000000000002</v>
      </c>
      <c r="I43">
        <v>608992</v>
      </c>
      <c r="J43">
        <v>-181.999</v>
      </c>
      <c r="K43">
        <v>54.61</v>
      </c>
      <c r="M43">
        <v>636293</v>
      </c>
      <c r="N43">
        <v>-294.745</v>
      </c>
      <c r="O43">
        <v>81.911000000000001</v>
      </c>
      <c r="Q43">
        <v>658867</v>
      </c>
      <c r="R43">
        <v>-403.49900000000002</v>
      </c>
      <c r="S43">
        <v>104.485</v>
      </c>
      <c r="U43">
        <v>677504</v>
      </c>
      <c r="V43">
        <v>-497.95800000000003</v>
      </c>
      <c r="W43">
        <v>123.122</v>
      </c>
      <c r="Y43">
        <v>698240</v>
      </c>
      <c r="Z43">
        <v>-597.03899999999999</v>
      </c>
      <c r="AA43">
        <v>143.858</v>
      </c>
      <c r="AC43">
        <v>719238</v>
      </c>
      <c r="AD43">
        <v>-702.7</v>
      </c>
      <c r="AE43">
        <v>164.85599999999999</v>
      </c>
      <c r="AG43">
        <v>744962</v>
      </c>
      <c r="AH43">
        <v>-795.23400000000004</v>
      </c>
      <c r="AI43">
        <v>190.58</v>
      </c>
    </row>
    <row r="44" spans="1:35" x14ac:dyDescent="0.25">
      <c r="A44">
        <v>565409</v>
      </c>
      <c r="B44">
        <v>-0.97499999999999998</v>
      </c>
      <c r="C44">
        <v>11.026999999999999</v>
      </c>
      <c r="E44">
        <v>588251</v>
      </c>
      <c r="F44">
        <v>-78.831000000000003</v>
      </c>
      <c r="G44">
        <v>33.869</v>
      </c>
      <c r="I44">
        <v>609254</v>
      </c>
      <c r="J44">
        <v>-182.447</v>
      </c>
      <c r="K44">
        <v>54.872</v>
      </c>
      <c r="M44">
        <v>636556</v>
      </c>
      <c r="N44">
        <v>-294.83499999999998</v>
      </c>
      <c r="O44">
        <v>82.174000000000007</v>
      </c>
      <c r="Q44">
        <v>659130</v>
      </c>
      <c r="R44">
        <v>-403.29899999999998</v>
      </c>
      <c r="S44">
        <v>104.748</v>
      </c>
      <c r="U44">
        <v>677767</v>
      </c>
      <c r="V44">
        <v>-498.452</v>
      </c>
      <c r="W44">
        <v>123.38500000000001</v>
      </c>
      <c r="Y44">
        <v>698503</v>
      </c>
      <c r="Z44">
        <v>-596.81399999999996</v>
      </c>
      <c r="AA44">
        <v>144.12100000000001</v>
      </c>
      <c r="AC44">
        <v>719501</v>
      </c>
      <c r="AD44">
        <v>-702.43299999999999</v>
      </c>
      <c r="AE44">
        <v>165.119</v>
      </c>
      <c r="AG44">
        <v>745224</v>
      </c>
      <c r="AH44">
        <v>-794.95699999999999</v>
      </c>
      <c r="AI44">
        <v>190.84200000000001</v>
      </c>
    </row>
    <row r="45" spans="1:35" x14ac:dyDescent="0.25">
      <c r="A45">
        <v>565672</v>
      </c>
      <c r="B45">
        <v>-1.087</v>
      </c>
      <c r="C45">
        <v>11.29</v>
      </c>
      <c r="E45">
        <v>588513</v>
      </c>
      <c r="F45">
        <v>-78.876999999999995</v>
      </c>
      <c r="G45">
        <v>34.131</v>
      </c>
      <c r="I45">
        <v>609517</v>
      </c>
      <c r="J45">
        <v>-182.309</v>
      </c>
      <c r="K45">
        <v>55.134999999999998</v>
      </c>
      <c r="M45">
        <v>636818</v>
      </c>
      <c r="N45">
        <v>-294.77199999999999</v>
      </c>
      <c r="O45">
        <v>82.436000000000007</v>
      </c>
      <c r="Q45">
        <v>659392</v>
      </c>
      <c r="R45">
        <v>-403.09500000000003</v>
      </c>
      <c r="S45">
        <v>105.01</v>
      </c>
      <c r="U45">
        <v>678029</v>
      </c>
      <c r="V45">
        <v>-498.29300000000001</v>
      </c>
      <c r="W45">
        <v>123.64700000000001</v>
      </c>
      <c r="Y45">
        <v>698765</v>
      </c>
      <c r="Z45">
        <v>-596.89700000000005</v>
      </c>
      <c r="AA45">
        <v>144.38300000000001</v>
      </c>
      <c r="AC45">
        <v>719763</v>
      </c>
      <c r="AD45">
        <v>-702.577</v>
      </c>
      <c r="AE45">
        <v>165.381</v>
      </c>
      <c r="AG45">
        <v>745487</v>
      </c>
      <c r="AH45">
        <v>-794.80700000000002</v>
      </c>
      <c r="AI45">
        <v>191.10499999999999</v>
      </c>
    </row>
    <row r="46" spans="1:35" x14ac:dyDescent="0.25">
      <c r="A46">
        <v>565934</v>
      </c>
      <c r="B46">
        <v>-1.044</v>
      </c>
      <c r="C46">
        <v>11.552</v>
      </c>
      <c r="E46">
        <v>588776</v>
      </c>
      <c r="F46">
        <v>-79.021000000000001</v>
      </c>
      <c r="G46">
        <v>34.393999999999998</v>
      </c>
      <c r="I46">
        <v>609779</v>
      </c>
      <c r="J46">
        <v>-182.405</v>
      </c>
      <c r="K46">
        <v>55.396999999999998</v>
      </c>
      <c r="M46">
        <v>637080</v>
      </c>
      <c r="N46">
        <v>-295.15800000000002</v>
      </c>
      <c r="O46">
        <v>82.697999999999993</v>
      </c>
      <c r="Q46">
        <v>659655</v>
      </c>
      <c r="R46">
        <v>-402.90499999999997</v>
      </c>
      <c r="S46">
        <v>105.273</v>
      </c>
      <c r="U46">
        <v>678292</v>
      </c>
      <c r="V46">
        <v>-497.762</v>
      </c>
      <c r="W46">
        <v>123.91</v>
      </c>
      <c r="Y46">
        <v>699028</v>
      </c>
      <c r="Z46">
        <v>-596.85400000000004</v>
      </c>
      <c r="AA46">
        <v>144.64599999999999</v>
      </c>
      <c r="AC46">
        <v>720026</v>
      </c>
      <c r="AD46">
        <v>-703.10599999999999</v>
      </c>
      <c r="AE46">
        <v>165.64400000000001</v>
      </c>
      <c r="AG46">
        <v>745749</v>
      </c>
      <c r="AH46">
        <v>-794.96500000000003</v>
      </c>
      <c r="AI46">
        <v>191.36699999999999</v>
      </c>
    </row>
    <row r="47" spans="1:35" x14ac:dyDescent="0.25">
      <c r="A47">
        <v>566197</v>
      </c>
      <c r="B47">
        <v>-0.95599999999999996</v>
      </c>
      <c r="C47">
        <v>11.815</v>
      </c>
      <c r="E47">
        <v>589038</v>
      </c>
      <c r="F47">
        <v>-78.646000000000001</v>
      </c>
      <c r="G47">
        <v>34.655999999999999</v>
      </c>
      <c r="I47">
        <v>610042</v>
      </c>
      <c r="J47">
        <v>-182.06800000000001</v>
      </c>
      <c r="K47">
        <v>55.66</v>
      </c>
      <c r="M47">
        <v>637343</v>
      </c>
      <c r="N47">
        <v>-295.15600000000001</v>
      </c>
      <c r="O47">
        <v>82.960999999999999</v>
      </c>
      <c r="Q47">
        <v>659917</v>
      </c>
      <c r="R47">
        <v>-403.25099999999998</v>
      </c>
      <c r="S47">
        <v>105.535</v>
      </c>
      <c r="U47">
        <v>678554</v>
      </c>
      <c r="V47">
        <v>-497.58100000000002</v>
      </c>
      <c r="W47">
        <v>124.172</v>
      </c>
      <c r="Y47">
        <v>699290</v>
      </c>
      <c r="Z47">
        <v>-596.62199999999996</v>
      </c>
      <c r="AA47">
        <v>144.90799999999999</v>
      </c>
      <c r="AC47">
        <v>720288</v>
      </c>
      <c r="AD47">
        <v>-703.13900000000001</v>
      </c>
      <c r="AE47">
        <v>165.90600000000001</v>
      </c>
      <c r="AG47">
        <v>746011</v>
      </c>
      <c r="AH47">
        <v>-794.97799999999995</v>
      </c>
      <c r="AI47">
        <v>191.62899999999999</v>
      </c>
    </row>
    <row r="48" spans="1:35" x14ac:dyDescent="0.25">
      <c r="A48">
        <v>566459</v>
      </c>
      <c r="B48">
        <v>-0.92500000000000004</v>
      </c>
      <c r="C48">
        <v>12.077</v>
      </c>
      <c r="E48">
        <v>589301</v>
      </c>
      <c r="F48">
        <v>-78.578999999999994</v>
      </c>
      <c r="G48">
        <v>34.918999999999997</v>
      </c>
      <c r="I48">
        <v>610304</v>
      </c>
      <c r="J48">
        <v>-182.024</v>
      </c>
      <c r="K48">
        <v>55.921999999999997</v>
      </c>
      <c r="M48">
        <v>637605</v>
      </c>
      <c r="N48">
        <v>-294.79500000000002</v>
      </c>
      <c r="O48">
        <v>83.222999999999999</v>
      </c>
      <c r="Q48">
        <v>660180</v>
      </c>
      <c r="R48">
        <v>-403.33</v>
      </c>
      <c r="S48">
        <v>105.798</v>
      </c>
      <c r="U48">
        <v>678817</v>
      </c>
      <c r="V48">
        <v>-498.00599999999997</v>
      </c>
      <c r="W48">
        <v>124.435</v>
      </c>
      <c r="Y48">
        <v>699553</v>
      </c>
      <c r="Z48">
        <v>-596.29499999999996</v>
      </c>
      <c r="AA48">
        <v>145.17099999999999</v>
      </c>
      <c r="AC48">
        <v>720551</v>
      </c>
      <c r="AD48">
        <v>-702.81600000000003</v>
      </c>
      <c r="AE48">
        <v>166.16900000000001</v>
      </c>
      <c r="AG48">
        <v>746274</v>
      </c>
      <c r="AH48">
        <v>-795.05499999999995</v>
      </c>
      <c r="AI48">
        <v>191.892</v>
      </c>
    </row>
    <row r="49" spans="1:35" x14ac:dyDescent="0.25">
      <c r="A49">
        <v>566722</v>
      </c>
      <c r="B49">
        <v>-1.139</v>
      </c>
      <c r="C49">
        <v>12.34</v>
      </c>
      <c r="E49">
        <v>589564</v>
      </c>
      <c r="F49">
        <v>-78.501999999999995</v>
      </c>
      <c r="G49">
        <v>35.182000000000002</v>
      </c>
      <c r="I49">
        <v>610567</v>
      </c>
      <c r="J49">
        <v>-182.12799999999999</v>
      </c>
      <c r="K49">
        <v>56.185000000000002</v>
      </c>
      <c r="M49">
        <v>637868</v>
      </c>
      <c r="N49">
        <v>-294.15600000000001</v>
      </c>
      <c r="O49">
        <v>83.486000000000004</v>
      </c>
      <c r="Q49">
        <v>660442</v>
      </c>
      <c r="R49">
        <v>-403.589</v>
      </c>
      <c r="S49">
        <v>106.06</v>
      </c>
      <c r="U49">
        <v>679079</v>
      </c>
      <c r="V49">
        <v>-498.33300000000003</v>
      </c>
      <c r="W49">
        <v>124.697</v>
      </c>
      <c r="Y49">
        <v>699815</v>
      </c>
      <c r="Z49">
        <v>-596.42200000000003</v>
      </c>
      <c r="AA49">
        <v>145.43299999999999</v>
      </c>
      <c r="AC49">
        <v>720813</v>
      </c>
      <c r="AD49">
        <v>-702.12699999999995</v>
      </c>
      <c r="AE49">
        <v>166.43100000000001</v>
      </c>
      <c r="AG49">
        <v>746537</v>
      </c>
      <c r="AH49">
        <v>-794.82399999999996</v>
      </c>
      <c r="AI49">
        <v>192.155</v>
      </c>
    </row>
    <row r="50" spans="1:35" x14ac:dyDescent="0.25">
      <c r="A50">
        <v>566985</v>
      </c>
      <c r="B50">
        <v>-0.96599999999999997</v>
      </c>
      <c r="C50">
        <v>12.603</v>
      </c>
      <c r="E50">
        <v>589826</v>
      </c>
      <c r="F50">
        <v>-78.188000000000002</v>
      </c>
      <c r="G50">
        <v>35.444000000000003</v>
      </c>
      <c r="I50">
        <v>610830</v>
      </c>
      <c r="J50">
        <v>-182.65899999999999</v>
      </c>
      <c r="K50">
        <v>56.448</v>
      </c>
      <c r="M50">
        <v>638130</v>
      </c>
      <c r="N50">
        <v>-294.30599999999998</v>
      </c>
      <c r="O50">
        <v>83.748000000000005</v>
      </c>
      <c r="Q50">
        <v>660705</v>
      </c>
      <c r="R50">
        <v>-403.08699999999999</v>
      </c>
      <c r="S50">
        <v>106.32299999999999</v>
      </c>
      <c r="U50">
        <v>679342</v>
      </c>
      <c r="V50">
        <v>-498.577</v>
      </c>
      <c r="W50">
        <v>124.96</v>
      </c>
      <c r="Y50">
        <v>700078</v>
      </c>
      <c r="Z50">
        <v>-596.40800000000002</v>
      </c>
      <c r="AA50">
        <v>145.696</v>
      </c>
      <c r="AC50">
        <v>721076</v>
      </c>
      <c r="AD50">
        <v>-702.07500000000005</v>
      </c>
      <c r="AE50">
        <v>166.69399999999999</v>
      </c>
      <c r="AG50">
        <v>746799</v>
      </c>
      <c r="AH50">
        <v>-794.60699999999997</v>
      </c>
      <c r="AI50">
        <v>192.417</v>
      </c>
    </row>
    <row r="51" spans="1:35" x14ac:dyDescent="0.25">
      <c r="A51">
        <v>567247</v>
      </c>
      <c r="B51">
        <v>-0.94599999999999995</v>
      </c>
      <c r="C51">
        <v>12.865</v>
      </c>
      <c r="E51">
        <v>590089</v>
      </c>
      <c r="F51">
        <v>-78.195999999999998</v>
      </c>
      <c r="G51">
        <v>35.707000000000001</v>
      </c>
      <c r="I51">
        <v>611092</v>
      </c>
      <c r="J51">
        <v>-182.47200000000001</v>
      </c>
      <c r="K51">
        <v>56.71</v>
      </c>
      <c r="M51">
        <v>638393</v>
      </c>
      <c r="N51">
        <v>-294.71199999999999</v>
      </c>
      <c r="O51">
        <v>84.010999999999996</v>
      </c>
      <c r="Q51">
        <v>660967</v>
      </c>
      <c r="R51">
        <v>-402.86200000000002</v>
      </c>
      <c r="S51">
        <v>106.58499999999999</v>
      </c>
      <c r="U51">
        <v>679604</v>
      </c>
      <c r="V51">
        <v>-498.18900000000002</v>
      </c>
      <c r="W51">
        <v>125.22199999999999</v>
      </c>
      <c r="Y51">
        <v>700340</v>
      </c>
      <c r="Z51">
        <v>-596.27700000000004</v>
      </c>
      <c r="AA51">
        <v>145.958</v>
      </c>
      <c r="AC51">
        <v>721338</v>
      </c>
      <c r="AD51">
        <v>-702.11800000000005</v>
      </c>
      <c r="AE51">
        <v>166.95599999999999</v>
      </c>
      <c r="AG51">
        <v>747062</v>
      </c>
      <c r="AH51">
        <v>-794.40499999999997</v>
      </c>
      <c r="AI51">
        <v>192.68</v>
      </c>
    </row>
    <row r="52" spans="1:35" x14ac:dyDescent="0.25">
      <c r="A52">
        <v>567510</v>
      </c>
      <c r="B52">
        <v>-0.81399999999999995</v>
      </c>
      <c r="C52">
        <v>13.128</v>
      </c>
      <c r="E52">
        <v>590352</v>
      </c>
      <c r="F52">
        <v>-78.373000000000005</v>
      </c>
      <c r="G52">
        <v>35.97</v>
      </c>
      <c r="I52">
        <v>611354</v>
      </c>
      <c r="J52">
        <v>-182.36799999999999</v>
      </c>
      <c r="K52">
        <v>56.972000000000001</v>
      </c>
      <c r="M52">
        <v>638655</v>
      </c>
      <c r="N52">
        <v>-294.66800000000001</v>
      </c>
      <c r="O52">
        <v>84.272999999999996</v>
      </c>
      <c r="Q52">
        <v>661230</v>
      </c>
      <c r="R52">
        <v>-402.87400000000002</v>
      </c>
      <c r="S52">
        <v>106.848</v>
      </c>
      <c r="U52">
        <v>679867</v>
      </c>
      <c r="V52">
        <v>-497.61200000000002</v>
      </c>
      <c r="W52">
        <v>125.485</v>
      </c>
      <c r="Y52">
        <v>700603</v>
      </c>
      <c r="Z52">
        <v>-596.25</v>
      </c>
      <c r="AA52">
        <v>146.221</v>
      </c>
      <c r="AC52">
        <v>721601</v>
      </c>
      <c r="AD52">
        <v>-702.56600000000003</v>
      </c>
      <c r="AE52">
        <v>167.21899999999999</v>
      </c>
      <c r="AG52">
        <v>747324</v>
      </c>
      <c r="AH52">
        <v>-794.54899999999998</v>
      </c>
      <c r="AI52">
        <v>192.94200000000001</v>
      </c>
    </row>
    <row r="53" spans="1:35" x14ac:dyDescent="0.25">
      <c r="A53">
        <v>567772</v>
      </c>
      <c r="B53">
        <v>-0.75600000000000001</v>
      </c>
      <c r="C53">
        <v>13.39</v>
      </c>
      <c r="E53">
        <v>590614</v>
      </c>
      <c r="F53">
        <v>-78.216999999999999</v>
      </c>
      <c r="G53">
        <v>36.231999999999999</v>
      </c>
      <c r="I53">
        <v>611617</v>
      </c>
      <c r="J53">
        <v>-182.72399999999999</v>
      </c>
      <c r="K53">
        <v>57.234999999999999</v>
      </c>
      <c r="M53">
        <v>638918</v>
      </c>
      <c r="N53">
        <v>-294.78899999999999</v>
      </c>
      <c r="O53">
        <v>84.536000000000001</v>
      </c>
      <c r="Q53">
        <v>661492</v>
      </c>
      <c r="R53">
        <v>-403.25700000000001</v>
      </c>
      <c r="S53">
        <v>107.11</v>
      </c>
      <c r="U53">
        <v>680129</v>
      </c>
      <c r="V53">
        <v>-497.63900000000001</v>
      </c>
      <c r="W53">
        <v>125.747</v>
      </c>
      <c r="Y53">
        <v>700865</v>
      </c>
      <c r="Z53">
        <v>-596.08100000000002</v>
      </c>
      <c r="AA53">
        <v>146.483</v>
      </c>
      <c r="AC53">
        <v>721863</v>
      </c>
      <c r="AD53">
        <v>-702.45399999999995</v>
      </c>
      <c r="AE53">
        <v>167.48099999999999</v>
      </c>
      <c r="AG53">
        <v>747586</v>
      </c>
      <c r="AH53">
        <v>-794.66300000000001</v>
      </c>
      <c r="AI53">
        <v>193.20400000000001</v>
      </c>
    </row>
    <row r="54" spans="1:35" x14ac:dyDescent="0.25">
      <c r="A54">
        <v>568035</v>
      </c>
      <c r="B54">
        <v>-0.877</v>
      </c>
      <c r="C54">
        <v>13.653</v>
      </c>
      <c r="E54">
        <v>590876</v>
      </c>
      <c r="F54">
        <v>-78.284000000000006</v>
      </c>
      <c r="G54">
        <v>36.494</v>
      </c>
      <c r="I54">
        <v>611880</v>
      </c>
      <c r="J54">
        <v>-182.72200000000001</v>
      </c>
      <c r="K54">
        <v>57.497999999999998</v>
      </c>
      <c r="M54">
        <v>639180</v>
      </c>
      <c r="N54">
        <v>-294.23899999999998</v>
      </c>
      <c r="O54">
        <v>84.798000000000002</v>
      </c>
      <c r="Q54">
        <v>661755</v>
      </c>
      <c r="R54">
        <v>-403.43400000000003</v>
      </c>
      <c r="S54">
        <v>107.373</v>
      </c>
      <c r="U54">
        <v>680392</v>
      </c>
      <c r="V54">
        <v>-497.96199999999999</v>
      </c>
      <c r="W54">
        <v>126.01</v>
      </c>
      <c r="Y54">
        <v>701128</v>
      </c>
      <c r="Z54">
        <v>-596.077</v>
      </c>
      <c r="AA54">
        <v>146.74600000000001</v>
      </c>
      <c r="AC54">
        <v>722126</v>
      </c>
      <c r="AD54">
        <v>-701.69100000000003</v>
      </c>
      <c r="AE54">
        <v>167.744</v>
      </c>
      <c r="AG54">
        <v>747849</v>
      </c>
      <c r="AH54">
        <v>-794.65099999999995</v>
      </c>
      <c r="AI54">
        <v>193.46700000000001</v>
      </c>
    </row>
    <row r="55" spans="1:35" x14ac:dyDescent="0.25">
      <c r="A55">
        <v>568297</v>
      </c>
      <c r="B55">
        <v>-1.071</v>
      </c>
      <c r="C55">
        <v>13.914999999999999</v>
      </c>
      <c r="E55">
        <v>591139</v>
      </c>
      <c r="F55">
        <v>-78.013000000000005</v>
      </c>
      <c r="G55">
        <v>36.756999999999998</v>
      </c>
      <c r="I55">
        <v>612142</v>
      </c>
      <c r="J55">
        <v>-183.19399999999999</v>
      </c>
      <c r="K55">
        <v>57.76</v>
      </c>
      <c r="M55">
        <v>639443</v>
      </c>
      <c r="N55">
        <v>-294.25200000000001</v>
      </c>
      <c r="O55">
        <v>85.061000000000007</v>
      </c>
      <c r="Q55">
        <v>662017</v>
      </c>
      <c r="R55">
        <v>-403.21600000000001</v>
      </c>
      <c r="S55">
        <v>107.63500000000001</v>
      </c>
      <c r="U55">
        <v>680654</v>
      </c>
      <c r="V55">
        <v>-498.46199999999999</v>
      </c>
      <c r="W55">
        <v>126.27200000000001</v>
      </c>
      <c r="Y55">
        <v>701390</v>
      </c>
      <c r="Z55">
        <v>-595.94500000000005</v>
      </c>
      <c r="AA55">
        <v>147.00800000000001</v>
      </c>
      <c r="AC55">
        <v>722388</v>
      </c>
      <c r="AD55">
        <v>-701.58500000000004</v>
      </c>
      <c r="AE55">
        <v>168.006</v>
      </c>
      <c r="AG55">
        <v>748112</v>
      </c>
      <c r="AH55">
        <v>-794.61500000000001</v>
      </c>
      <c r="AI55">
        <v>193.73</v>
      </c>
    </row>
    <row r="56" spans="1:35" x14ac:dyDescent="0.25">
      <c r="A56">
        <v>568560</v>
      </c>
      <c r="B56">
        <v>-1.081</v>
      </c>
      <c r="C56">
        <v>14.178000000000001</v>
      </c>
      <c r="E56">
        <v>591401</v>
      </c>
      <c r="F56">
        <v>-78.102000000000004</v>
      </c>
      <c r="G56">
        <v>37.018999999999998</v>
      </c>
      <c r="I56">
        <v>612405</v>
      </c>
      <c r="J56">
        <v>-184.39</v>
      </c>
      <c r="K56">
        <v>58.023000000000003</v>
      </c>
      <c r="M56">
        <v>639705</v>
      </c>
      <c r="N56">
        <v>-294.173</v>
      </c>
      <c r="O56">
        <v>85.322999999999993</v>
      </c>
      <c r="Q56">
        <v>662280</v>
      </c>
      <c r="R56">
        <v>-402.84500000000003</v>
      </c>
      <c r="S56">
        <v>107.898</v>
      </c>
      <c r="U56">
        <v>680917</v>
      </c>
      <c r="V56">
        <v>-498.50799999999998</v>
      </c>
      <c r="W56">
        <v>126.535</v>
      </c>
      <c r="Y56">
        <v>701653</v>
      </c>
      <c r="Z56">
        <v>-596.15800000000002</v>
      </c>
      <c r="AA56">
        <v>147.27099999999999</v>
      </c>
      <c r="AC56">
        <v>722651</v>
      </c>
      <c r="AD56">
        <v>-701.8</v>
      </c>
      <c r="AE56">
        <v>168.26900000000001</v>
      </c>
      <c r="AG56">
        <v>748374</v>
      </c>
      <c r="AH56">
        <v>-794.25699999999995</v>
      </c>
      <c r="AI56">
        <v>193.99199999999999</v>
      </c>
    </row>
    <row r="57" spans="1:35" x14ac:dyDescent="0.25">
      <c r="A57">
        <v>568823</v>
      </c>
      <c r="B57">
        <v>-0.90400000000000003</v>
      </c>
      <c r="C57">
        <v>14.441000000000001</v>
      </c>
      <c r="E57">
        <v>591664</v>
      </c>
      <c r="F57">
        <v>-78.117000000000004</v>
      </c>
      <c r="G57">
        <v>37.281999999999996</v>
      </c>
      <c r="I57">
        <v>612667</v>
      </c>
      <c r="J57">
        <v>-184.92099999999999</v>
      </c>
      <c r="K57">
        <v>58.284999999999997</v>
      </c>
      <c r="M57">
        <v>639968</v>
      </c>
      <c r="N57">
        <v>-294.63900000000001</v>
      </c>
      <c r="O57">
        <v>85.585999999999999</v>
      </c>
      <c r="Q57">
        <v>662542</v>
      </c>
      <c r="R57">
        <v>-402.52</v>
      </c>
      <c r="S57">
        <v>108.16</v>
      </c>
      <c r="U57">
        <v>681179</v>
      </c>
      <c r="V57">
        <v>-498.25599999999997</v>
      </c>
      <c r="W57">
        <v>126.797</v>
      </c>
      <c r="Y57">
        <v>701915</v>
      </c>
      <c r="Z57">
        <v>-595.83500000000004</v>
      </c>
      <c r="AA57">
        <v>147.53299999999999</v>
      </c>
      <c r="AC57">
        <v>722913</v>
      </c>
      <c r="AD57">
        <v>-702.29300000000001</v>
      </c>
      <c r="AE57">
        <v>168.53100000000001</v>
      </c>
      <c r="AG57">
        <v>748636</v>
      </c>
      <c r="AH57">
        <v>-794.303</v>
      </c>
      <c r="AI57">
        <v>194.25399999999999</v>
      </c>
    </row>
    <row r="58" spans="1:35" x14ac:dyDescent="0.25">
      <c r="A58">
        <v>569085</v>
      </c>
      <c r="B58">
        <v>-0.98499999999999999</v>
      </c>
      <c r="C58">
        <v>14.702999999999999</v>
      </c>
      <c r="E58">
        <v>591927</v>
      </c>
      <c r="F58">
        <v>-78.135999999999996</v>
      </c>
      <c r="G58">
        <v>37.545000000000002</v>
      </c>
      <c r="I58">
        <v>612930</v>
      </c>
      <c r="J58">
        <v>-183.86099999999999</v>
      </c>
      <c r="K58">
        <v>58.548000000000002</v>
      </c>
      <c r="M58">
        <v>640230</v>
      </c>
      <c r="N58">
        <v>-294.57499999999999</v>
      </c>
      <c r="O58">
        <v>85.847999999999999</v>
      </c>
      <c r="Q58">
        <v>662805</v>
      </c>
      <c r="R58">
        <v>-402.85500000000002</v>
      </c>
      <c r="S58">
        <v>108.423</v>
      </c>
      <c r="U58">
        <v>681441</v>
      </c>
      <c r="V58">
        <v>-497.65199999999999</v>
      </c>
      <c r="W58">
        <v>127.059</v>
      </c>
      <c r="Y58">
        <v>702178</v>
      </c>
      <c r="Z58">
        <v>-595.904</v>
      </c>
      <c r="AA58">
        <v>147.79599999999999</v>
      </c>
      <c r="AC58">
        <v>723176</v>
      </c>
      <c r="AD58">
        <v>-702.495</v>
      </c>
      <c r="AE58">
        <v>168.79400000000001</v>
      </c>
      <c r="AG58">
        <v>748899</v>
      </c>
      <c r="AH58">
        <v>-794.49699999999996</v>
      </c>
      <c r="AI58">
        <v>194.517</v>
      </c>
    </row>
    <row r="59" spans="1:35" x14ac:dyDescent="0.25">
      <c r="A59">
        <v>569347</v>
      </c>
      <c r="B59">
        <v>-1.1060000000000001</v>
      </c>
      <c r="C59">
        <v>14.965</v>
      </c>
      <c r="E59">
        <v>592189</v>
      </c>
      <c r="F59">
        <v>-78.352000000000004</v>
      </c>
      <c r="G59">
        <v>37.807000000000002</v>
      </c>
      <c r="I59">
        <v>613192</v>
      </c>
      <c r="J59">
        <v>-183.584</v>
      </c>
      <c r="K59">
        <v>58.81</v>
      </c>
      <c r="M59">
        <v>640493</v>
      </c>
      <c r="N59">
        <v>-294.44299999999998</v>
      </c>
      <c r="O59">
        <v>86.111000000000004</v>
      </c>
      <c r="Q59">
        <v>663067</v>
      </c>
      <c r="R59">
        <v>-402.95299999999997</v>
      </c>
      <c r="S59">
        <v>108.685</v>
      </c>
      <c r="U59">
        <v>681704</v>
      </c>
      <c r="V59">
        <v>-497.69400000000002</v>
      </c>
      <c r="W59">
        <v>127.322</v>
      </c>
      <c r="Y59">
        <v>702440</v>
      </c>
      <c r="Z59">
        <v>-595.94500000000005</v>
      </c>
      <c r="AA59">
        <v>148.05799999999999</v>
      </c>
      <c r="AC59">
        <v>723438</v>
      </c>
      <c r="AD59">
        <v>-702.23699999999997</v>
      </c>
      <c r="AE59">
        <v>169.05600000000001</v>
      </c>
      <c r="AG59">
        <v>749161</v>
      </c>
      <c r="AH59">
        <v>-794.18899999999996</v>
      </c>
      <c r="AI59">
        <v>194.779</v>
      </c>
    </row>
    <row r="60" spans="1:35" x14ac:dyDescent="0.25">
      <c r="A60">
        <v>569610</v>
      </c>
      <c r="B60">
        <v>-1.0209999999999999</v>
      </c>
      <c r="C60">
        <v>15.228</v>
      </c>
      <c r="E60">
        <v>592452</v>
      </c>
      <c r="F60">
        <v>-78.201999999999998</v>
      </c>
      <c r="G60">
        <v>38.07</v>
      </c>
      <c r="I60">
        <v>613455</v>
      </c>
      <c r="J60">
        <v>-183.65700000000001</v>
      </c>
      <c r="K60">
        <v>59.073</v>
      </c>
      <c r="M60">
        <v>640755</v>
      </c>
      <c r="N60">
        <v>-294.02499999999998</v>
      </c>
      <c r="O60">
        <v>86.373000000000005</v>
      </c>
      <c r="Q60">
        <v>663330</v>
      </c>
      <c r="R60">
        <v>-403.00099999999998</v>
      </c>
      <c r="S60">
        <v>108.94799999999999</v>
      </c>
      <c r="U60">
        <v>681966</v>
      </c>
      <c r="V60">
        <v>-498.53100000000001</v>
      </c>
      <c r="W60">
        <v>127.584</v>
      </c>
      <c r="Y60">
        <v>702703</v>
      </c>
      <c r="Z60">
        <v>-595.97699999999998</v>
      </c>
      <c r="AA60">
        <v>148.321</v>
      </c>
      <c r="AC60">
        <v>723701</v>
      </c>
      <c r="AD60">
        <v>-701.57100000000003</v>
      </c>
      <c r="AE60">
        <v>169.31899999999999</v>
      </c>
      <c r="AG60">
        <v>749424</v>
      </c>
      <c r="AH60">
        <v>-794.14700000000005</v>
      </c>
      <c r="AI60">
        <v>195.042</v>
      </c>
    </row>
    <row r="61" spans="1:35" x14ac:dyDescent="0.25">
      <c r="A61">
        <v>569873</v>
      </c>
      <c r="B61">
        <v>-1.216</v>
      </c>
      <c r="C61">
        <v>15.491</v>
      </c>
      <c r="E61">
        <v>592714</v>
      </c>
      <c r="F61">
        <v>-78.152000000000001</v>
      </c>
      <c r="G61">
        <v>38.332000000000001</v>
      </c>
      <c r="I61">
        <v>613717</v>
      </c>
      <c r="J61">
        <v>-183.86699999999999</v>
      </c>
      <c r="K61">
        <v>59.335000000000001</v>
      </c>
      <c r="M61">
        <v>641018</v>
      </c>
      <c r="N61">
        <v>-294.10199999999998</v>
      </c>
      <c r="O61">
        <v>86.635999999999996</v>
      </c>
      <c r="Q61">
        <v>663592</v>
      </c>
      <c r="R61">
        <v>-402.77</v>
      </c>
      <c r="S61">
        <v>109.21</v>
      </c>
      <c r="U61">
        <v>682229</v>
      </c>
      <c r="V61">
        <v>-498.79300000000001</v>
      </c>
      <c r="W61">
        <v>127.84699999999999</v>
      </c>
      <c r="Y61">
        <v>702965</v>
      </c>
      <c r="Z61">
        <v>-595.86599999999999</v>
      </c>
      <c r="AA61">
        <v>148.583</v>
      </c>
      <c r="AC61">
        <v>723963</v>
      </c>
      <c r="AD61">
        <v>-701.29200000000003</v>
      </c>
      <c r="AE61">
        <v>169.58099999999999</v>
      </c>
      <c r="AG61">
        <v>749686</v>
      </c>
      <c r="AH61">
        <v>-794.553</v>
      </c>
      <c r="AI61">
        <v>195.304</v>
      </c>
    </row>
    <row r="62" spans="1:35" x14ac:dyDescent="0.25">
      <c r="A62">
        <v>570135</v>
      </c>
      <c r="B62">
        <v>-0.97299999999999998</v>
      </c>
      <c r="C62">
        <v>15.753</v>
      </c>
      <c r="E62">
        <v>592977</v>
      </c>
      <c r="F62">
        <v>-78.123000000000005</v>
      </c>
      <c r="G62">
        <v>38.594999999999999</v>
      </c>
      <c r="I62">
        <v>613980</v>
      </c>
      <c r="J62">
        <v>-184.50299999999999</v>
      </c>
      <c r="K62">
        <v>59.597999999999999</v>
      </c>
      <c r="M62">
        <v>641280</v>
      </c>
      <c r="N62">
        <v>-294.00599999999997</v>
      </c>
      <c r="O62">
        <v>86.897999999999996</v>
      </c>
      <c r="Q62">
        <v>663855</v>
      </c>
      <c r="R62">
        <v>-402.26600000000002</v>
      </c>
      <c r="S62">
        <v>109.473</v>
      </c>
      <c r="U62">
        <v>682491</v>
      </c>
      <c r="V62">
        <v>-498.59300000000002</v>
      </c>
      <c r="W62">
        <v>128.10900000000001</v>
      </c>
      <c r="Y62">
        <v>703227</v>
      </c>
      <c r="Z62">
        <v>-595.83299999999997</v>
      </c>
      <c r="AA62">
        <v>148.845</v>
      </c>
      <c r="AC62">
        <v>724226</v>
      </c>
      <c r="AD62">
        <v>-701.87300000000005</v>
      </c>
      <c r="AE62">
        <v>169.84399999999999</v>
      </c>
      <c r="AG62">
        <v>749949</v>
      </c>
      <c r="AH62">
        <v>-795.79200000000003</v>
      </c>
      <c r="AI62">
        <v>195.56700000000001</v>
      </c>
    </row>
    <row r="63" spans="1:35" x14ac:dyDescent="0.25">
      <c r="A63">
        <v>570398</v>
      </c>
      <c r="B63">
        <v>-1.012</v>
      </c>
      <c r="C63">
        <v>16.015999999999998</v>
      </c>
      <c r="E63">
        <v>593240</v>
      </c>
      <c r="F63">
        <v>-78.188000000000002</v>
      </c>
      <c r="G63">
        <v>38.857999999999997</v>
      </c>
      <c r="I63">
        <v>614242</v>
      </c>
      <c r="J63">
        <v>-183.90700000000001</v>
      </c>
      <c r="K63">
        <v>59.86</v>
      </c>
      <c r="M63">
        <v>641543</v>
      </c>
      <c r="N63">
        <v>-294.23500000000001</v>
      </c>
      <c r="O63">
        <v>87.161000000000001</v>
      </c>
      <c r="Q63">
        <v>664117</v>
      </c>
      <c r="R63">
        <v>-402.51600000000002</v>
      </c>
      <c r="S63">
        <v>109.735</v>
      </c>
      <c r="U63">
        <v>682754</v>
      </c>
      <c r="V63">
        <v>-497.85399999999998</v>
      </c>
      <c r="W63">
        <v>128.37200000000001</v>
      </c>
      <c r="Y63">
        <v>703490</v>
      </c>
      <c r="Z63">
        <v>-595.72299999999996</v>
      </c>
      <c r="AA63">
        <v>149.108</v>
      </c>
      <c r="AC63">
        <v>724488</v>
      </c>
      <c r="AD63">
        <v>-702.30600000000004</v>
      </c>
      <c r="AE63">
        <v>170.10599999999999</v>
      </c>
      <c r="AG63">
        <v>750211</v>
      </c>
      <c r="AH63">
        <v>-795.89599999999996</v>
      </c>
      <c r="AI63">
        <v>195.82900000000001</v>
      </c>
    </row>
    <row r="64" spans="1:35" x14ac:dyDescent="0.25">
      <c r="A64">
        <v>570660</v>
      </c>
      <c r="B64">
        <v>-0.89800000000000002</v>
      </c>
      <c r="C64">
        <v>16.277999999999999</v>
      </c>
      <c r="E64">
        <v>593502</v>
      </c>
      <c r="F64">
        <v>-78.257000000000005</v>
      </c>
      <c r="G64">
        <v>39.119999999999997</v>
      </c>
      <c r="I64">
        <v>614505</v>
      </c>
      <c r="J64">
        <v>-183.78200000000001</v>
      </c>
      <c r="K64">
        <v>60.122999999999998</v>
      </c>
      <c r="M64">
        <v>641805</v>
      </c>
      <c r="N64">
        <v>-294.33499999999998</v>
      </c>
      <c r="O64">
        <v>87.423000000000002</v>
      </c>
      <c r="Q64">
        <v>664380</v>
      </c>
      <c r="R64">
        <v>-402.53500000000003</v>
      </c>
      <c r="S64">
        <v>109.998</v>
      </c>
      <c r="U64">
        <v>683016</v>
      </c>
      <c r="V64">
        <v>-498.04300000000001</v>
      </c>
      <c r="W64">
        <v>128.63399999999999</v>
      </c>
      <c r="Y64">
        <v>703752</v>
      </c>
      <c r="Z64">
        <v>-595.68499999999995</v>
      </c>
      <c r="AA64">
        <v>149.37</v>
      </c>
      <c r="AC64">
        <v>724751</v>
      </c>
      <c r="AD64">
        <v>-702.10599999999999</v>
      </c>
      <c r="AE64">
        <v>170.369</v>
      </c>
      <c r="AG64">
        <v>750474</v>
      </c>
      <c r="AH64">
        <v>-795.67200000000003</v>
      </c>
      <c r="AI64">
        <v>196.09200000000001</v>
      </c>
    </row>
    <row r="65" spans="1:35" x14ac:dyDescent="0.25">
      <c r="A65">
        <v>570923</v>
      </c>
      <c r="B65">
        <v>-0.97099999999999997</v>
      </c>
      <c r="C65">
        <v>16.541</v>
      </c>
      <c r="E65">
        <v>593764</v>
      </c>
      <c r="F65">
        <v>-78.238</v>
      </c>
      <c r="G65">
        <v>39.381999999999998</v>
      </c>
      <c r="I65">
        <v>614767</v>
      </c>
      <c r="J65">
        <v>-183.63399999999999</v>
      </c>
      <c r="K65">
        <v>60.384999999999998</v>
      </c>
      <c r="M65">
        <v>642068</v>
      </c>
      <c r="N65">
        <v>-294.25400000000002</v>
      </c>
      <c r="O65">
        <v>87.686000000000007</v>
      </c>
      <c r="Q65">
        <v>664642</v>
      </c>
      <c r="R65">
        <v>-402.65499999999997</v>
      </c>
      <c r="S65">
        <v>110.26</v>
      </c>
      <c r="U65">
        <v>683279</v>
      </c>
      <c r="V65">
        <v>-498.40199999999999</v>
      </c>
      <c r="W65">
        <v>128.89699999999999</v>
      </c>
      <c r="Y65">
        <v>704015</v>
      </c>
      <c r="Z65">
        <v>-595.51400000000001</v>
      </c>
      <c r="AA65">
        <v>149.63300000000001</v>
      </c>
      <c r="AC65">
        <v>725013</v>
      </c>
      <c r="AD65">
        <v>-701.69399999999996</v>
      </c>
      <c r="AE65">
        <v>170.631</v>
      </c>
      <c r="AG65">
        <v>750736</v>
      </c>
      <c r="AH65">
        <v>-795.601</v>
      </c>
      <c r="AI65">
        <v>196.35400000000001</v>
      </c>
    </row>
    <row r="66" spans="1:35" x14ac:dyDescent="0.25">
      <c r="A66">
        <v>571185</v>
      </c>
      <c r="B66">
        <v>-0.95399999999999996</v>
      </c>
      <c r="C66">
        <v>16.803000000000001</v>
      </c>
      <c r="E66">
        <v>594027</v>
      </c>
      <c r="F66">
        <v>-77.954999999999998</v>
      </c>
      <c r="G66">
        <v>39.645000000000003</v>
      </c>
      <c r="I66">
        <v>615030</v>
      </c>
      <c r="J66">
        <v>-183.58600000000001</v>
      </c>
      <c r="K66">
        <v>60.648000000000003</v>
      </c>
      <c r="M66">
        <v>642330</v>
      </c>
      <c r="N66">
        <v>-293.77100000000002</v>
      </c>
      <c r="O66">
        <v>87.947999999999993</v>
      </c>
      <c r="Q66">
        <v>664905</v>
      </c>
      <c r="R66">
        <v>-402.94900000000001</v>
      </c>
      <c r="S66">
        <v>110.523</v>
      </c>
      <c r="U66">
        <v>683542</v>
      </c>
      <c r="V66">
        <v>-498.72699999999998</v>
      </c>
      <c r="W66">
        <v>129.16</v>
      </c>
      <c r="Y66">
        <v>704277</v>
      </c>
      <c r="Z66">
        <v>-595.51</v>
      </c>
      <c r="AA66">
        <v>149.89500000000001</v>
      </c>
      <c r="AC66">
        <v>725276</v>
      </c>
      <c r="AD66">
        <v>-701.09</v>
      </c>
      <c r="AE66">
        <v>170.89400000000001</v>
      </c>
      <c r="AG66">
        <v>750999</v>
      </c>
      <c r="AH66">
        <v>-795.39200000000005</v>
      </c>
      <c r="AI66">
        <v>196.61699999999999</v>
      </c>
    </row>
    <row r="67" spans="1:35" x14ac:dyDescent="0.25">
      <c r="A67">
        <v>571448</v>
      </c>
      <c r="B67">
        <v>-1.1659999999999999</v>
      </c>
      <c r="C67">
        <v>17.065999999999999</v>
      </c>
      <c r="E67">
        <v>594290</v>
      </c>
      <c r="F67">
        <v>-77.956999999999994</v>
      </c>
      <c r="G67">
        <v>39.908000000000001</v>
      </c>
      <c r="I67">
        <v>615292</v>
      </c>
      <c r="J67">
        <v>-183.596</v>
      </c>
      <c r="K67">
        <v>60.91</v>
      </c>
      <c r="M67">
        <v>642593</v>
      </c>
      <c r="N67">
        <v>-293.77699999999999</v>
      </c>
      <c r="O67">
        <v>88.210999999999999</v>
      </c>
      <c r="R67">
        <f>SUBTOTAL(101,Table5[weight_g])</f>
        <v>-403.47156923076932</v>
      </c>
      <c r="U67">
        <v>683804</v>
      </c>
      <c r="V67">
        <v>-499.03699999999998</v>
      </c>
      <c r="W67">
        <v>129.422</v>
      </c>
      <c r="Y67">
        <v>704540</v>
      </c>
      <c r="Z67">
        <v>-595.59799999999996</v>
      </c>
      <c r="AA67">
        <v>150.15799999999999</v>
      </c>
      <c r="AC67">
        <v>725538</v>
      </c>
      <c r="AD67">
        <v>-701.1</v>
      </c>
      <c r="AE67">
        <v>171.15600000000001</v>
      </c>
      <c r="AG67">
        <v>751261</v>
      </c>
      <c r="AH67">
        <v>-795.24900000000002</v>
      </c>
      <c r="AI67">
        <v>196.87899999999999</v>
      </c>
    </row>
    <row r="68" spans="1:35" x14ac:dyDescent="0.25">
      <c r="A68">
        <v>571710</v>
      </c>
      <c r="B68">
        <v>-1.1080000000000001</v>
      </c>
      <c r="C68">
        <v>17.327999999999999</v>
      </c>
      <c r="E68">
        <v>594552</v>
      </c>
      <c r="F68">
        <v>-78.125</v>
      </c>
      <c r="G68">
        <v>40.17</v>
      </c>
      <c r="I68">
        <v>615555</v>
      </c>
      <c r="J68">
        <v>-183.459</v>
      </c>
      <c r="K68">
        <v>61.173000000000002</v>
      </c>
      <c r="M68">
        <v>642855</v>
      </c>
      <c r="N68">
        <v>-294.3</v>
      </c>
      <c r="O68">
        <v>88.472999999999999</v>
      </c>
      <c r="U68">
        <v>684066</v>
      </c>
      <c r="V68">
        <v>-498.69499999999999</v>
      </c>
      <c r="W68">
        <v>129.684</v>
      </c>
      <c r="Y68">
        <v>704802</v>
      </c>
      <c r="Z68">
        <v>-595.51599999999996</v>
      </c>
      <c r="AA68">
        <v>150.41999999999999</v>
      </c>
      <c r="AC68">
        <v>725801</v>
      </c>
      <c r="AD68">
        <v>-701.72299999999996</v>
      </c>
      <c r="AE68">
        <v>171.41900000000001</v>
      </c>
      <c r="AG68">
        <v>751524</v>
      </c>
      <c r="AH68">
        <v>-795.09199999999998</v>
      </c>
      <c r="AI68">
        <v>197.142</v>
      </c>
    </row>
    <row r="69" spans="1:35" x14ac:dyDescent="0.25">
      <c r="A69">
        <v>571973</v>
      </c>
      <c r="B69">
        <v>-1.087</v>
      </c>
      <c r="C69">
        <v>17.591000000000001</v>
      </c>
      <c r="E69">
        <v>594815</v>
      </c>
      <c r="F69">
        <v>-78.248000000000005</v>
      </c>
      <c r="G69">
        <v>40.433</v>
      </c>
      <c r="I69">
        <v>615817</v>
      </c>
      <c r="J69">
        <v>-183.38</v>
      </c>
      <c r="K69">
        <v>61.435000000000002</v>
      </c>
      <c r="M69">
        <v>643118</v>
      </c>
      <c r="N69">
        <v>-294.47500000000002</v>
      </c>
      <c r="O69">
        <v>88.736000000000004</v>
      </c>
      <c r="U69">
        <v>684329</v>
      </c>
      <c r="V69">
        <v>-497.98899999999998</v>
      </c>
      <c r="W69">
        <v>129.947</v>
      </c>
      <c r="Y69">
        <v>705065</v>
      </c>
      <c r="Z69">
        <v>-595.27700000000004</v>
      </c>
      <c r="AA69">
        <v>150.68299999999999</v>
      </c>
      <c r="AC69">
        <v>726063</v>
      </c>
      <c r="AD69">
        <v>-701.91</v>
      </c>
      <c r="AE69">
        <v>171.68100000000001</v>
      </c>
      <c r="AG69">
        <v>751786</v>
      </c>
      <c r="AH69">
        <v>-794.96799999999996</v>
      </c>
      <c r="AI69">
        <v>197.404</v>
      </c>
    </row>
    <row r="70" spans="1:35" x14ac:dyDescent="0.25">
      <c r="A70">
        <v>572236</v>
      </c>
      <c r="B70">
        <v>-0.91200000000000003</v>
      </c>
      <c r="C70">
        <v>17.853999999999999</v>
      </c>
      <c r="E70">
        <v>595077</v>
      </c>
      <c r="F70">
        <v>-78.061000000000007</v>
      </c>
      <c r="G70">
        <v>40.695</v>
      </c>
      <c r="I70">
        <v>616080</v>
      </c>
      <c r="J70">
        <v>-183.34</v>
      </c>
      <c r="K70">
        <v>61.698</v>
      </c>
      <c r="M70">
        <v>643380</v>
      </c>
      <c r="N70">
        <v>-294.32299999999998</v>
      </c>
      <c r="O70">
        <v>88.998000000000005</v>
      </c>
      <c r="U70">
        <v>684591</v>
      </c>
      <c r="V70">
        <v>-498.13900000000001</v>
      </c>
      <c r="W70">
        <v>130.209</v>
      </c>
      <c r="Y70">
        <v>705327</v>
      </c>
      <c r="Z70">
        <v>-595.49800000000005</v>
      </c>
      <c r="AA70">
        <v>150.94499999999999</v>
      </c>
      <c r="AC70">
        <v>726325</v>
      </c>
      <c r="AD70">
        <v>-701.69600000000003</v>
      </c>
      <c r="AE70">
        <v>171.94300000000001</v>
      </c>
      <c r="AG70">
        <v>752049</v>
      </c>
      <c r="AH70">
        <v>-794.85699999999997</v>
      </c>
      <c r="AI70">
        <v>197.667</v>
      </c>
    </row>
    <row r="71" spans="1:35" x14ac:dyDescent="0.25">
      <c r="A71">
        <v>572498</v>
      </c>
      <c r="B71">
        <v>-1.218</v>
      </c>
      <c r="C71">
        <v>18.116</v>
      </c>
      <c r="F71">
        <f>SUBTOTAL(101,Table2[weight_g])</f>
        <v>-78.784318840579715</v>
      </c>
      <c r="I71">
        <v>616342</v>
      </c>
      <c r="J71">
        <v>-183.18600000000001</v>
      </c>
      <c r="K71">
        <v>61.96</v>
      </c>
      <c r="M71">
        <v>643643</v>
      </c>
      <c r="N71">
        <v>-294.11799999999999</v>
      </c>
      <c r="O71">
        <v>89.260999999999996</v>
      </c>
      <c r="U71">
        <v>684854</v>
      </c>
      <c r="V71">
        <v>-500.37799999999999</v>
      </c>
      <c r="W71">
        <v>130.47200000000001</v>
      </c>
      <c r="Y71">
        <v>705590</v>
      </c>
      <c r="Z71">
        <v>-594.94799999999998</v>
      </c>
      <c r="AA71">
        <v>151.208</v>
      </c>
      <c r="AC71">
        <v>726588</v>
      </c>
      <c r="AD71">
        <v>-701.14</v>
      </c>
      <c r="AE71">
        <v>172.20599999999999</v>
      </c>
      <c r="AG71">
        <v>752311</v>
      </c>
      <c r="AH71">
        <v>-794.60500000000002</v>
      </c>
      <c r="AI71">
        <v>197.929</v>
      </c>
    </row>
    <row r="72" spans="1:35" x14ac:dyDescent="0.25">
      <c r="A72">
        <v>572761</v>
      </c>
      <c r="B72">
        <v>-1</v>
      </c>
      <c r="C72">
        <v>18.379000000000001</v>
      </c>
      <c r="I72">
        <v>616605</v>
      </c>
      <c r="J72">
        <v>-183.26900000000001</v>
      </c>
      <c r="K72">
        <v>62.222999999999999</v>
      </c>
      <c r="M72">
        <v>643905</v>
      </c>
      <c r="N72">
        <v>-293.85399999999998</v>
      </c>
      <c r="O72">
        <v>89.522999999999996</v>
      </c>
      <c r="U72">
        <v>685116</v>
      </c>
      <c r="V72">
        <v>-504.911</v>
      </c>
      <c r="W72">
        <v>130.73400000000001</v>
      </c>
      <c r="Y72">
        <v>705852</v>
      </c>
      <c r="Z72">
        <v>-595.36599999999999</v>
      </c>
      <c r="AA72">
        <v>151.47</v>
      </c>
      <c r="AC72">
        <v>726851</v>
      </c>
      <c r="AD72">
        <v>-700.85199999999998</v>
      </c>
      <c r="AE72">
        <v>172.46899999999999</v>
      </c>
      <c r="AG72">
        <v>752573</v>
      </c>
      <c r="AH72">
        <v>-794.62400000000002</v>
      </c>
      <c r="AI72">
        <v>198.191</v>
      </c>
    </row>
    <row r="73" spans="1:35" x14ac:dyDescent="0.25">
      <c r="A73">
        <v>573023</v>
      </c>
      <c r="B73">
        <v>-0.88500000000000001</v>
      </c>
      <c r="C73">
        <v>18.640999999999998</v>
      </c>
      <c r="I73">
        <v>616868</v>
      </c>
      <c r="J73">
        <v>-183.78399999999999</v>
      </c>
      <c r="K73">
        <v>62.485999999999997</v>
      </c>
      <c r="M73">
        <v>644168</v>
      </c>
      <c r="N73">
        <v>-293.55599999999998</v>
      </c>
      <c r="O73">
        <v>89.786000000000001</v>
      </c>
      <c r="V73">
        <f>SUBTOTAL(101,Table6[weight_g])</f>
        <v>-498.09576056338017</v>
      </c>
      <c r="Y73">
        <v>706115</v>
      </c>
      <c r="Z73">
        <v>-597.45799999999997</v>
      </c>
      <c r="AA73">
        <v>151.733</v>
      </c>
      <c r="AC73">
        <v>727113</v>
      </c>
      <c r="AD73">
        <v>-701.20399999999995</v>
      </c>
      <c r="AE73">
        <v>172.73099999999999</v>
      </c>
      <c r="AG73">
        <v>752836</v>
      </c>
      <c r="AH73">
        <v>-794.64300000000003</v>
      </c>
      <c r="AI73">
        <v>198.45400000000001</v>
      </c>
    </row>
    <row r="74" spans="1:35" x14ac:dyDescent="0.25">
      <c r="A74">
        <v>573286</v>
      </c>
      <c r="B74">
        <v>-1.085</v>
      </c>
      <c r="C74">
        <v>18.904</v>
      </c>
      <c r="I74">
        <v>617130</v>
      </c>
      <c r="J74">
        <v>-183.649</v>
      </c>
      <c r="K74">
        <v>62.747999999999998</v>
      </c>
      <c r="M74">
        <v>644430</v>
      </c>
      <c r="N74">
        <v>-294.18299999999999</v>
      </c>
      <c r="O74">
        <v>90.048000000000002</v>
      </c>
      <c r="Z74">
        <f>SUBTOTAL(101,Table7[weight_g])</f>
        <v>-597.92311111111121</v>
      </c>
      <c r="AC74">
        <v>727375</v>
      </c>
      <c r="AD74">
        <v>-701.45</v>
      </c>
      <c r="AE74">
        <v>172.99299999999999</v>
      </c>
      <c r="AG74">
        <v>753098</v>
      </c>
      <c r="AH74">
        <v>-794.61099999999999</v>
      </c>
      <c r="AI74">
        <v>198.71600000000001</v>
      </c>
    </row>
    <row r="75" spans="1:35" x14ac:dyDescent="0.25">
      <c r="A75">
        <v>573548</v>
      </c>
      <c r="B75">
        <v>-0.91200000000000003</v>
      </c>
      <c r="C75">
        <v>19.166</v>
      </c>
      <c r="I75">
        <v>617393</v>
      </c>
      <c r="J75">
        <v>-183.255</v>
      </c>
      <c r="K75">
        <v>63.011000000000003</v>
      </c>
      <c r="M75">
        <v>644693</v>
      </c>
      <c r="N75">
        <v>-294.34100000000001</v>
      </c>
      <c r="O75">
        <v>90.311000000000007</v>
      </c>
      <c r="AC75">
        <v>727638</v>
      </c>
      <c r="AD75">
        <v>-701.65800000000002</v>
      </c>
      <c r="AE75">
        <v>173.256</v>
      </c>
      <c r="AG75">
        <v>753361</v>
      </c>
      <c r="AH75">
        <v>-794.46100000000001</v>
      </c>
      <c r="AI75">
        <v>198.97900000000001</v>
      </c>
    </row>
    <row r="76" spans="1:35" x14ac:dyDescent="0.25">
      <c r="A76">
        <v>573811</v>
      </c>
      <c r="B76">
        <v>-0.97499999999999998</v>
      </c>
      <c r="C76">
        <v>19.428999999999998</v>
      </c>
      <c r="I76">
        <v>617655</v>
      </c>
      <c r="J76">
        <v>-183.274</v>
      </c>
      <c r="K76">
        <v>63.273000000000003</v>
      </c>
      <c r="M76">
        <v>644955</v>
      </c>
      <c r="N76">
        <v>-294.06</v>
      </c>
      <c r="O76">
        <v>90.572999999999993</v>
      </c>
      <c r="AC76">
        <v>727900</v>
      </c>
      <c r="AD76">
        <v>-701.26</v>
      </c>
      <c r="AE76">
        <v>173.518</v>
      </c>
      <c r="AG76">
        <v>753623</v>
      </c>
      <c r="AH76">
        <v>-794.74699999999996</v>
      </c>
      <c r="AI76">
        <v>199.24100000000001</v>
      </c>
    </row>
    <row r="77" spans="1:35" x14ac:dyDescent="0.25">
      <c r="A77">
        <v>574073</v>
      </c>
      <c r="B77">
        <v>-0.93100000000000005</v>
      </c>
      <c r="C77">
        <v>19.690999999999999</v>
      </c>
      <c r="I77">
        <v>617918</v>
      </c>
      <c r="J77">
        <v>-183.33199999999999</v>
      </c>
      <c r="K77">
        <v>63.536000000000001</v>
      </c>
      <c r="M77">
        <v>645217</v>
      </c>
      <c r="N77">
        <v>-294.02499999999998</v>
      </c>
      <c r="O77">
        <v>90.834999999999994</v>
      </c>
      <c r="AC77">
        <v>728163</v>
      </c>
      <c r="AD77">
        <v>-700.79600000000005</v>
      </c>
      <c r="AE77">
        <v>173.78100000000001</v>
      </c>
      <c r="AG77">
        <v>753886</v>
      </c>
      <c r="AH77">
        <v>-794.39099999999996</v>
      </c>
      <c r="AI77">
        <v>199.50399999999999</v>
      </c>
    </row>
    <row r="78" spans="1:35" x14ac:dyDescent="0.25">
      <c r="A78">
        <v>574336</v>
      </c>
      <c r="B78">
        <v>-1.177</v>
      </c>
      <c r="C78">
        <v>19.954000000000001</v>
      </c>
      <c r="I78">
        <v>618180</v>
      </c>
      <c r="J78">
        <v>-183.536</v>
      </c>
      <c r="K78">
        <v>63.798000000000002</v>
      </c>
      <c r="M78">
        <v>645480</v>
      </c>
      <c r="N78">
        <v>-294.077</v>
      </c>
      <c r="O78">
        <v>91.097999999999999</v>
      </c>
      <c r="AC78">
        <v>728425</v>
      </c>
      <c r="AD78">
        <v>-700.63300000000004</v>
      </c>
      <c r="AE78">
        <v>174.04300000000001</v>
      </c>
      <c r="AG78">
        <v>754148</v>
      </c>
      <c r="AH78">
        <v>-794.61300000000006</v>
      </c>
      <c r="AI78">
        <v>199.76599999999999</v>
      </c>
    </row>
    <row r="79" spans="1:35" x14ac:dyDescent="0.25">
      <c r="A79">
        <v>574599</v>
      </c>
      <c r="B79">
        <v>-0.95399999999999996</v>
      </c>
      <c r="C79">
        <v>20.216999999999999</v>
      </c>
      <c r="I79">
        <v>618443</v>
      </c>
      <c r="J79">
        <v>-183.55699999999999</v>
      </c>
      <c r="K79">
        <v>64.061000000000007</v>
      </c>
      <c r="M79">
        <v>645743</v>
      </c>
      <c r="N79">
        <v>-293.91399999999999</v>
      </c>
      <c r="O79">
        <v>91.361000000000004</v>
      </c>
      <c r="AC79">
        <v>728688</v>
      </c>
      <c r="AD79">
        <v>-701.01</v>
      </c>
      <c r="AE79">
        <v>174.30600000000001</v>
      </c>
      <c r="AG79">
        <v>754411</v>
      </c>
      <c r="AH79">
        <v>-794.55700000000002</v>
      </c>
      <c r="AI79">
        <v>200.029</v>
      </c>
    </row>
    <row r="80" spans="1:35" x14ac:dyDescent="0.25">
      <c r="A80">
        <v>574861</v>
      </c>
      <c r="B80">
        <v>-1.2210000000000001</v>
      </c>
      <c r="C80">
        <v>20.478999999999999</v>
      </c>
      <c r="I80">
        <v>618705</v>
      </c>
      <c r="J80">
        <v>-183.43799999999999</v>
      </c>
      <c r="K80">
        <v>64.322999999999993</v>
      </c>
      <c r="M80">
        <v>646005</v>
      </c>
      <c r="N80">
        <v>-294.13900000000001</v>
      </c>
      <c r="O80">
        <v>91.623000000000005</v>
      </c>
      <c r="AC80">
        <v>728950</v>
      </c>
      <c r="AD80">
        <v>-701.60400000000004</v>
      </c>
      <c r="AE80">
        <v>174.56800000000001</v>
      </c>
      <c r="AH80">
        <f>SUBTOTAL(101,Table9[weight_g])</f>
        <v>-795.58383333333336</v>
      </c>
    </row>
    <row r="81" spans="1:31" x14ac:dyDescent="0.25">
      <c r="A81">
        <v>575123</v>
      </c>
      <c r="B81">
        <v>-1.2250000000000001</v>
      </c>
      <c r="C81">
        <v>20.741</v>
      </c>
      <c r="I81">
        <v>618968</v>
      </c>
      <c r="J81">
        <v>-183.47200000000001</v>
      </c>
      <c r="K81">
        <v>64.585999999999999</v>
      </c>
      <c r="M81">
        <v>646268</v>
      </c>
      <c r="N81">
        <v>-294.53300000000002</v>
      </c>
      <c r="O81">
        <v>91.885999999999996</v>
      </c>
      <c r="AC81">
        <v>729213</v>
      </c>
      <c r="AD81">
        <v>-701.47299999999996</v>
      </c>
      <c r="AE81">
        <v>174.83099999999999</v>
      </c>
    </row>
    <row r="82" spans="1:31" x14ac:dyDescent="0.25">
      <c r="A82">
        <v>575386</v>
      </c>
      <c r="B82">
        <v>-1.071</v>
      </c>
      <c r="C82">
        <v>21.004000000000001</v>
      </c>
      <c r="I82">
        <v>619230</v>
      </c>
      <c r="J82">
        <v>-182.98599999999999</v>
      </c>
      <c r="K82">
        <v>64.847999999999999</v>
      </c>
      <c r="N82">
        <f>SUBTOTAL(101,Table4[weight_g])</f>
        <v>-295.61177500000008</v>
      </c>
      <c r="AC82">
        <v>729475</v>
      </c>
      <c r="AD82">
        <v>-700.99599999999998</v>
      </c>
      <c r="AE82">
        <v>175.09299999999999</v>
      </c>
    </row>
    <row r="83" spans="1:31" x14ac:dyDescent="0.25">
      <c r="A83">
        <v>575649</v>
      </c>
      <c r="B83">
        <v>-1.1930000000000001</v>
      </c>
      <c r="C83">
        <v>21.266999999999999</v>
      </c>
      <c r="I83">
        <v>619493</v>
      </c>
      <c r="J83">
        <v>-183.31899999999999</v>
      </c>
      <c r="K83">
        <v>65.111000000000004</v>
      </c>
      <c r="AC83">
        <v>729738</v>
      </c>
      <c r="AD83">
        <v>-700.57899999999995</v>
      </c>
      <c r="AE83">
        <v>175.35599999999999</v>
      </c>
    </row>
    <row r="84" spans="1:31" x14ac:dyDescent="0.25">
      <c r="A84">
        <v>575911</v>
      </c>
      <c r="B84">
        <v>-0.88900000000000001</v>
      </c>
      <c r="C84">
        <v>21.529</v>
      </c>
      <c r="I84">
        <v>619755</v>
      </c>
      <c r="J84">
        <v>-183.292</v>
      </c>
      <c r="K84">
        <v>65.373000000000005</v>
      </c>
      <c r="AC84">
        <v>730000</v>
      </c>
      <c r="AD84">
        <v>-700.51700000000005</v>
      </c>
      <c r="AE84">
        <v>175.61799999999999</v>
      </c>
    </row>
    <row r="85" spans="1:31" x14ac:dyDescent="0.25">
      <c r="A85">
        <v>576174</v>
      </c>
      <c r="B85">
        <v>-1.123</v>
      </c>
      <c r="C85">
        <v>21.792000000000002</v>
      </c>
      <c r="I85">
        <v>620018</v>
      </c>
      <c r="J85">
        <v>-183.374</v>
      </c>
      <c r="K85">
        <v>65.635999999999996</v>
      </c>
      <c r="AC85">
        <v>730263</v>
      </c>
      <c r="AD85">
        <v>-701.35599999999999</v>
      </c>
      <c r="AE85">
        <v>175.881</v>
      </c>
    </row>
    <row r="86" spans="1:31" x14ac:dyDescent="0.25">
      <c r="B86">
        <f>SUBTOTAL(101,Table1[weight_g])</f>
        <v>-1.0917380952380953</v>
      </c>
      <c r="I86">
        <v>620280</v>
      </c>
      <c r="J86">
        <v>-182.988</v>
      </c>
      <c r="K86">
        <v>65.897999999999996</v>
      </c>
      <c r="AC86">
        <v>730525</v>
      </c>
      <c r="AD86">
        <v>-701.98500000000001</v>
      </c>
      <c r="AE86">
        <v>176.143</v>
      </c>
    </row>
    <row r="87" spans="1:31" x14ac:dyDescent="0.25">
      <c r="I87">
        <v>620543</v>
      </c>
      <c r="J87">
        <v>-182.999</v>
      </c>
      <c r="K87">
        <v>66.161000000000001</v>
      </c>
      <c r="AC87">
        <v>730788</v>
      </c>
      <c r="AD87">
        <v>-701.94600000000003</v>
      </c>
      <c r="AE87">
        <v>176.40600000000001</v>
      </c>
    </row>
    <row r="88" spans="1:31" x14ac:dyDescent="0.25">
      <c r="I88">
        <v>620805</v>
      </c>
      <c r="J88">
        <v>-183.12200000000001</v>
      </c>
      <c r="K88">
        <v>66.423000000000002</v>
      </c>
      <c r="AC88">
        <v>731050</v>
      </c>
      <c r="AD88">
        <v>-701.06700000000001</v>
      </c>
      <c r="AE88">
        <v>176.66800000000001</v>
      </c>
    </row>
    <row r="89" spans="1:31" x14ac:dyDescent="0.25">
      <c r="I89">
        <v>621068</v>
      </c>
      <c r="J89">
        <v>-183.459</v>
      </c>
      <c r="K89">
        <v>66.686000000000007</v>
      </c>
      <c r="AC89">
        <v>731313</v>
      </c>
      <c r="AD89">
        <v>-701.15</v>
      </c>
      <c r="AE89">
        <v>176.93100000000001</v>
      </c>
    </row>
    <row r="90" spans="1:31" x14ac:dyDescent="0.25">
      <c r="I90">
        <v>621330</v>
      </c>
      <c r="J90">
        <v>-183.78399999999999</v>
      </c>
      <c r="K90">
        <v>66.947999999999993</v>
      </c>
      <c r="AC90">
        <v>731575</v>
      </c>
      <c r="AD90">
        <v>-701.44200000000001</v>
      </c>
      <c r="AE90">
        <v>177.19300000000001</v>
      </c>
    </row>
    <row r="91" spans="1:31" x14ac:dyDescent="0.25">
      <c r="I91">
        <v>621593</v>
      </c>
      <c r="J91">
        <v>-183.29</v>
      </c>
      <c r="K91">
        <v>67.210999999999999</v>
      </c>
      <c r="AC91">
        <v>731838</v>
      </c>
      <c r="AD91">
        <v>-702.32100000000003</v>
      </c>
      <c r="AE91">
        <v>177.45599999999999</v>
      </c>
    </row>
    <row r="92" spans="1:31" x14ac:dyDescent="0.25">
      <c r="I92">
        <v>621855</v>
      </c>
      <c r="J92">
        <v>-182.94</v>
      </c>
      <c r="K92">
        <v>67.472999999999999</v>
      </c>
      <c r="AC92">
        <v>732100</v>
      </c>
      <c r="AD92">
        <v>-703.35400000000004</v>
      </c>
      <c r="AE92">
        <v>177.71799999999999</v>
      </c>
    </row>
    <row r="93" spans="1:31" x14ac:dyDescent="0.25">
      <c r="I93">
        <v>622118</v>
      </c>
      <c r="J93">
        <v>-182.93799999999999</v>
      </c>
      <c r="K93">
        <v>67.736000000000004</v>
      </c>
      <c r="AC93">
        <v>732363</v>
      </c>
      <c r="AD93">
        <v>-702.16399999999999</v>
      </c>
      <c r="AE93">
        <v>177.98099999999999</v>
      </c>
    </row>
    <row r="94" spans="1:31" x14ac:dyDescent="0.25">
      <c r="I94">
        <v>622380</v>
      </c>
      <c r="J94">
        <v>-182.95699999999999</v>
      </c>
      <c r="K94">
        <v>67.998000000000005</v>
      </c>
      <c r="AD94">
        <f>SUBTOTAL(101,Table8[weight_g])</f>
        <v>-703.20540217391328</v>
      </c>
    </row>
    <row r="95" spans="1:31" x14ac:dyDescent="0.25">
      <c r="I95">
        <v>622643</v>
      </c>
      <c r="J95">
        <v>-183.072</v>
      </c>
      <c r="K95">
        <v>68.260999999999996</v>
      </c>
    </row>
    <row r="96" spans="1:31" x14ac:dyDescent="0.25">
      <c r="I96">
        <v>622905</v>
      </c>
      <c r="J96">
        <v>-183.297</v>
      </c>
      <c r="K96">
        <v>68.522999999999996</v>
      </c>
    </row>
    <row r="97" spans="1:11" x14ac:dyDescent="0.25">
      <c r="I97">
        <v>623168</v>
      </c>
      <c r="J97">
        <v>-183.81100000000001</v>
      </c>
      <c r="K97">
        <v>68.786000000000001</v>
      </c>
    </row>
    <row r="98" spans="1:11" x14ac:dyDescent="0.25">
      <c r="A98" t="s">
        <v>4</v>
      </c>
      <c r="B98" t="s">
        <v>9</v>
      </c>
      <c r="C98" t="s">
        <v>10</v>
      </c>
      <c r="D98" t="s">
        <v>11</v>
      </c>
      <c r="E98" t="s">
        <v>12</v>
      </c>
      <c r="I98">
        <v>623430</v>
      </c>
      <c r="J98">
        <v>-184.08</v>
      </c>
      <c r="K98">
        <v>69.048000000000002</v>
      </c>
    </row>
    <row r="99" spans="1:11" x14ac:dyDescent="0.25">
      <c r="A99">
        <v>0</v>
      </c>
      <c r="B99">
        <f>-Table1[[#Totals],[weight_g]]</f>
        <v>1.0917380952380953</v>
      </c>
      <c r="C99">
        <v>0</v>
      </c>
      <c r="D99" t="e">
        <f>Table10[[#This Row],[outpout_weight]]/Table10[[#This Row],[input weight]]</f>
        <v>#DIV/0!</v>
      </c>
      <c r="E99" t="e">
        <f t="shared" ref="E99:E107" si="0">B99-B98</f>
        <v>#VALUE!</v>
      </c>
      <c r="I99">
        <v>623693</v>
      </c>
      <c r="J99">
        <v>-185.69</v>
      </c>
      <c r="K99">
        <v>69.311000000000007</v>
      </c>
    </row>
    <row r="100" spans="1:11" x14ac:dyDescent="0.25">
      <c r="A100">
        <v>100</v>
      </c>
      <c r="B100">
        <f>-Table2[[#Totals],[weight_g]]</f>
        <v>78.784318840579715</v>
      </c>
      <c r="C100">
        <v>100</v>
      </c>
      <c r="D100">
        <f>Table10[[#This Row],[outpout_weight]]/Table10[[#This Row],[input weight]]</f>
        <v>0.78784318840579715</v>
      </c>
      <c r="E100">
        <f t="shared" si="0"/>
        <v>77.692580745341616</v>
      </c>
      <c r="J100">
        <f>SUBTOTAL(101,Table3[weight_g])</f>
        <v>-183.44129591836722</v>
      </c>
    </row>
    <row r="101" spans="1:11" x14ac:dyDescent="0.25">
      <c r="A101">
        <v>200</v>
      </c>
      <c r="B101">
        <f>-Table3[[#Totals],[weight_g]]</f>
        <v>183.44129591836722</v>
      </c>
      <c r="C101">
        <v>200</v>
      </c>
      <c r="D101">
        <f>Table10[[#This Row],[outpout_weight]]/Table10[[#This Row],[input weight]]</f>
        <v>0.9172064795918361</v>
      </c>
      <c r="E101">
        <f t="shared" si="0"/>
        <v>104.6569770777875</v>
      </c>
    </row>
    <row r="102" spans="1:11" x14ac:dyDescent="0.25">
      <c r="A102">
        <v>300</v>
      </c>
      <c r="B102">
        <f>-Table4[[#Totals],[weight_g]]</f>
        <v>295.61177500000008</v>
      </c>
      <c r="C102">
        <v>300</v>
      </c>
      <c r="D102">
        <f>Table10[[#This Row],[outpout_weight]]/Table10[[#This Row],[input weight]]</f>
        <v>0.98537258333333355</v>
      </c>
      <c r="E102">
        <f t="shared" si="0"/>
        <v>112.17047908163286</v>
      </c>
    </row>
    <row r="103" spans="1:11" x14ac:dyDescent="0.25">
      <c r="A103">
        <v>400</v>
      </c>
      <c r="B103">
        <f>-Table5[[#Totals],[weight_g]]</f>
        <v>403.47156923076932</v>
      </c>
      <c r="C103">
        <v>400</v>
      </c>
      <c r="D103">
        <f>Table10[[#This Row],[outpout_weight]]/Table10[[#This Row],[input weight]]</f>
        <v>1.0086789230769233</v>
      </c>
      <c r="E103">
        <f t="shared" si="0"/>
        <v>107.85979423076924</v>
      </c>
    </row>
    <row r="104" spans="1:11" x14ac:dyDescent="0.25">
      <c r="A104">
        <v>500</v>
      </c>
      <c r="B104">
        <f>-Table6[[#Totals],[weight_g]]</f>
        <v>498.09576056338017</v>
      </c>
      <c r="C104">
        <v>500</v>
      </c>
      <c r="D104">
        <f>Table10[[#This Row],[outpout_weight]]/Table10[[#This Row],[input weight]]</f>
        <v>0.99619152112676035</v>
      </c>
      <c r="E104">
        <f t="shared" si="0"/>
        <v>94.624191332610849</v>
      </c>
    </row>
    <row r="105" spans="1:11" x14ac:dyDescent="0.25">
      <c r="A105">
        <v>600</v>
      </c>
      <c r="B105">
        <f>-Table7[[#Totals],[weight_g]]</f>
        <v>597.92311111111121</v>
      </c>
      <c r="C105">
        <v>600</v>
      </c>
      <c r="D105">
        <f>Table10[[#This Row],[outpout_weight]]/Table10[[#This Row],[input weight]]</f>
        <v>0.99653851851851871</v>
      </c>
      <c r="E105">
        <f t="shared" si="0"/>
        <v>99.827350547731044</v>
      </c>
    </row>
    <row r="106" spans="1:11" x14ac:dyDescent="0.25">
      <c r="A106">
        <v>700</v>
      </c>
      <c r="B106">
        <f>-Table8[[#Totals],[weight_g]]</f>
        <v>703.20540217391328</v>
      </c>
      <c r="C106">
        <v>700</v>
      </c>
      <c r="D106">
        <f>Table10[[#This Row],[outpout_weight]]/Table10[[#This Row],[input weight]]</f>
        <v>1.0045791459627333</v>
      </c>
      <c r="E106">
        <f t="shared" si="0"/>
        <v>105.28229106280207</v>
      </c>
    </row>
    <row r="107" spans="1:11" x14ac:dyDescent="0.25">
      <c r="A107">
        <v>800</v>
      </c>
      <c r="B107">
        <f>-Table9[[#Totals],[weight_g]]</f>
        <v>795.58383333333336</v>
      </c>
      <c r="C107">
        <v>800</v>
      </c>
      <c r="D107">
        <f>Table10[[#This Row],[outpout_weight]]/Table10[[#This Row],[input weight]]</f>
        <v>0.99447979166666667</v>
      </c>
      <c r="E107">
        <f t="shared" si="0"/>
        <v>92.378431159420074</v>
      </c>
    </row>
  </sheetData>
  <pageMargins left="0.7" right="0.7" top="0.75" bottom="0.75" header="0.3" footer="0.3"/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pmuo8837 / KOCH Fabian Lukas / Fabian Lukas KOCH</cp:lastModifiedBy>
  <dcterms:created xsi:type="dcterms:W3CDTF">2026-05-15T02:31:18Z</dcterms:created>
  <dcterms:modified xsi:type="dcterms:W3CDTF">2026-05-15T03:09:40Z</dcterms:modified>
</cp:coreProperties>
</file>