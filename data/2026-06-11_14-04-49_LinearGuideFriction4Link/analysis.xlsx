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tmdacjp-my.sharepoint.com/personal/koch_f_f64c_m_isct_ac_jp/Documents/Documents/4-Software/data/2026-06-11_14-04-49_LinearGuideFriction4Link/"/>
    </mc:Choice>
  </mc:AlternateContent>
  <xr:revisionPtr revIDLastSave="1" documentId="11_F25DC773A252ABDACC10488D295E6C425BDE58E5" xr6:coauthVersionLast="47" xr6:coauthVersionMax="47" xr10:uidLastSave="{8BCD8143-C193-4877-96BC-97769BC9F07B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3" i="1" l="1"/>
  <c r="B73" i="1"/>
  <c r="B72" i="1"/>
  <c r="E72" i="1"/>
</calcChain>
</file>

<file path=xl/sharedStrings.xml><?xml version="1.0" encoding="utf-8"?>
<sst xmlns="http://schemas.openxmlformats.org/spreadsheetml/2006/main" count="6" uniqueCount="4">
  <si>
    <t>time_s</t>
  </si>
  <si>
    <t>weight_g</t>
  </si>
  <si>
    <t>load</t>
  </si>
  <si>
    <t>unload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</si>
</sst>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unload (500 --&gt; 0)</a:t>
            </a:r>
          </a:p>
        </c:rich>
      </c:tx>
      <c:layout>
        <c:manualLayout>
          <c:xMode val="edge"/>
          <c:yMode val="edge"/>
          <c:x val="0.4248123359580052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weight_g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Sheet1!$D$3:$D$71</c:f>
              <c:numCache>
                <c:formatCode>General</c:formatCode>
                <c:ptCount val="69"/>
                <c:pt idx="0">
                  <c:v>864.73099999999999</c:v>
                </c:pt>
                <c:pt idx="1">
                  <c:v>865.16800000000001</c:v>
                </c:pt>
                <c:pt idx="2">
                  <c:v>865.60500000000002</c:v>
                </c:pt>
                <c:pt idx="3">
                  <c:v>866.04200000000003</c:v>
                </c:pt>
                <c:pt idx="4">
                  <c:v>866.47900000000004</c:v>
                </c:pt>
                <c:pt idx="5">
                  <c:v>866.91600000000005</c:v>
                </c:pt>
                <c:pt idx="6">
                  <c:v>867.35299999999995</c:v>
                </c:pt>
                <c:pt idx="15">
                  <c:v>871.28800000000001</c:v>
                </c:pt>
                <c:pt idx="16">
                  <c:v>871.72500000000002</c:v>
                </c:pt>
                <c:pt idx="17">
                  <c:v>872.16200000000003</c:v>
                </c:pt>
                <c:pt idx="18">
                  <c:v>872.59900000000005</c:v>
                </c:pt>
                <c:pt idx="19">
                  <c:v>873.03599999999994</c:v>
                </c:pt>
                <c:pt idx="20">
                  <c:v>873.47299999999996</c:v>
                </c:pt>
                <c:pt idx="21">
                  <c:v>873.91</c:v>
                </c:pt>
                <c:pt idx="22">
                  <c:v>874.34699999999998</c:v>
                </c:pt>
                <c:pt idx="23">
                  <c:v>874.78399999999999</c:v>
                </c:pt>
                <c:pt idx="24">
                  <c:v>875.221</c:v>
                </c:pt>
                <c:pt idx="25">
                  <c:v>875.65899999999999</c:v>
                </c:pt>
                <c:pt idx="26">
                  <c:v>876.096</c:v>
                </c:pt>
                <c:pt idx="27">
                  <c:v>876.53300000000002</c:v>
                </c:pt>
                <c:pt idx="28">
                  <c:v>876.97</c:v>
                </c:pt>
                <c:pt idx="29">
                  <c:v>877.40700000000004</c:v>
                </c:pt>
                <c:pt idx="30">
                  <c:v>877.84400000000005</c:v>
                </c:pt>
                <c:pt idx="31">
                  <c:v>878.28099999999995</c:v>
                </c:pt>
                <c:pt idx="32">
                  <c:v>878.71799999999996</c:v>
                </c:pt>
                <c:pt idx="33">
                  <c:v>879.15499999999997</c:v>
                </c:pt>
                <c:pt idx="34">
                  <c:v>879.59299999999996</c:v>
                </c:pt>
                <c:pt idx="35">
                  <c:v>880.03</c:v>
                </c:pt>
                <c:pt idx="36">
                  <c:v>880.46699999999998</c:v>
                </c:pt>
                <c:pt idx="37">
                  <c:v>880.904</c:v>
                </c:pt>
                <c:pt idx="38">
                  <c:v>881.34100000000001</c:v>
                </c:pt>
                <c:pt idx="39">
                  <c:v>881.77800000000002</c:v>
                </c:pt>
                <c:pt idx="40">
                  <c:v>882.21500000000003</c:v>
                </c:pt>
                <c:pt idx="41">
                  <c:v>882.65200000000004</c:v>
                </c:pt>
                <c:pt idx="42">
                  <c:v>883.09</c:v>
                </c:pt>
                <c:pt idx="43">
                  <c:v>883.52700000000004</c:v>
                </c:pt>
                <c:pt idx="44">
                  <c:v>883.96400000000006</c:v>
                </c:pt>
                <c:pt idx="45">
                  <c:v>884.40099999999995</c:v>
                </c:pt>
                <c:pt idx="46">
                  <c:v>884.83799999999997</c:v>
                </c:pt>
                <c:pt idx="47">
                  <c:v>885.27499999999998</c:v>
                </c:pt>
                <c:pt idx="48">
                  <c:v>885.71199999999999</c:v>
                </c:pt>
                <c:pt idx="49">
                  <c:v>886.149</c:v>
                </c:pt>
                <c:pt idx="50">
                  <c:v>886.58699999999999</c:v>
                </c:pt>
                <c:pt idx="51">
                  <c:v>887.024</c:v>
                </c:pt>
                <c:pt idx="52">
                  <c:v>887.46100000000001</c:v>
                </c:pt>
                <c:pt idx="53">
                  <c:v>887.89800000000002</c:v>
                </c:pt>
                <c:pt idx="54">
                  <c:v>888.33500000000004</c:v>
                </c:pt>
                <c:pt idx="61">
                  <c:v>891.39499999999998</c:v>
                </c:pt>
                <c:pt idx="62">
                  <c:v>891.83199999999999</c:v>
                </c:pt>
                <c:pt idx="63">
                  <c:v>892.26900000000001</c:v>
                </c:pt>
                <c:pt idx="64">
                  <c:v>892.70600000000002</c:v>
                </c:pt>
                <c:pt idx="65">
                  <c:v>893.14400000000001</c:v>
                </c:pt>
                <c:pt idx="66">
                  <c:v>893.58100000000002</c:v>
                </c:pt>
                <c:pt idx="67">
                  <c:v>894.01800000000003</c:v>
                </c:pt>
                <c:pt idx="68">
                  <c:v>894.45500000000004</c:v>
                </c:pt>
              </c:numCache>
            </c:numRef>
          </c:xVal>
          <c:yVal>
            <c:numRef>
              <c:f>Sheet1!$E$3:$E$71</c:f>
              <c:numCache>
                <c:formatCode>General</c:formatCode>
                <c:ptCount val="69"/>
                <c:pt idx="0">
                  <c:v>14.051500000000001</c:v>
                </c:pt>
                <c:pt idx="1">
                  <c:v>14.092000000000001</c:v>
                </c:pt>
                <c:pt idx="2">
                  <c:v>14.151899999999999</c:v>
                </c:pt>
                <c:pt idx="3">
                  <c:v>14.1738</c:v>
                </c:pt>
                <c:pt idx="4">
                  <c:v>14.1858</c:v>
                </c:pt>
                <c:pt idx="5">
                  <c:v>14.192500000000001</c:v>
                </c:pt>
                <c:pt idx="6">
                  <c:v>14.222200000000001</c:v>
                </c:pt>
                <c:pt idx="15">
                  <c:v>17.7636</c:v>
                </c:pt>
                <c:pt idx="16">
                  <c:v>18.151800000000001</c:v>
                </c:pt>
                <c:pt idx="17">
                  <c:v>18.6007</c:v>
                </c:pt>
                <c:pt idx="18">
                  <c:v>18.983499999999999</c:v>
                </c:pt>
                <c:pt idx="19">
                  <c:v>19.253399999999999</c:v>
                </c:pt>
                <c:pt idx="20">
                  <c:v>19.3886</c:v>
                </c:pt>
                <c:pt idx="21">
                  <c:v>19.6738</c:v>
                </c:pt>
                <c:pt idx="22">
                  <c:v>19.737100000000002</c:v>
                </c:pt>
                <c:pt idx="23">
                  <c:v>19.868099999999998</c:v>
                </c:pt>
                <c:pt idx="24">
                  <c:v>19.963200000000001</c:v>
                </c:pt>
                <c:pt idx="25">
                  <c:v>20.062000000000001</c:v>
                </c:pt>
                <c:pt idx="26">
                  <c:v>20.136399999999998</c:v>
                </c:pt>
                <c:pt idx="27">
                  <c:v>20.219100000000001</c:v>
                </c:pt>
                <c:pt idx="28">
                  <c:v>20.229399999999998</c:v>
                </c:pt>
                <c:pt idx="29">
                  <c:v>20.240600000000001</c:v>
                </c:pt>
                <c:pt idx="30">
                  <c:v>20.349299999999999</c:v>
                </c:pt>
                <c:pt idx="31">
                  <c:v>20.3323</c:v>
                </c:pt>
                <c:pt idx="32">
                  <c:v>20.448899999999998</c:v>
                </c:pt>
                <c:pt idx="33">
                  <c:v>20.4072</c:v>
                </c:pt>
                <c:pt idx="34">
                  <c:v>20.4315</c:v>
                </c:pt>
                <c:pt idx="35">
                  <c:v>20.4237</c:v>
                </c:pt>
                <c:pt idx="36">
                  <c:v>20.5121</c:v>
                </c:pt>
                <c:pt idx="37">
                  <c:v>20.456800000000001</c:v>
                </c:pt>
                <c:pt idx="38">
                  <c:v>20.470400000000001</c:v>
                </c:pt>
                <c:pt idx="39">
                  <c:v>20.526599999999998</c:v>
                </c:pt>
                <c:pt idx="40">
                  <c:v>20.498899999999999</c:v>
                </c:pt>
                <c:pt idx="41">
                  <c:v>20.495999999999999</c:v>
                </c:pt>
                <c:pt idx="42">
                  <c:v>20.505500000000001</c:v>
                </c:pt>
                <c:pt idx="43">
                  <c:v>20.545200000000001</c:v>
                </c:pt>
                <c:pt idx="44">
                  <c:v>20.583300000000001</c:v>
                </c:pt>
                <c:pt idx="45">
                  <c:v>20.610499999999998</c:v>
                </c:pt>
                <c:pt idx="46">
                  <c:v>20.467099999999999</c:v>
                </c:pt>
                <c:pt idx="47">
                  <c:v>20.473700000000001</c:v>
                </c:pt>
                <c:pt idx="48">
                  <c:v>20.308800000000002</c:v>
                </c:pt>
                <c:pt idx="49">
                  <c:v>20.340199999999999</c:v>
                </c:pt>
                <c:pt idx="50">
                  <c:v>20.295500000000001</c:v>
                </c:pt>
                <c:pt idx="51">
                  <c:v>20.371600000000001</c:v>
                </c:pt>
                <c:pt idx="52">
                  <c:v>20.290600000000001</c:v>
                </c:pt>
                <c:pt idx="53">
                  <c:v>20.3447</c:v>
                </c:pt>
                <c:pt idx="54">
                  <c:v>20.278199999999998</c:v>
                </c:pt>
                <c:pt idx="61">
                  <c:v>9.9855</c:v>
                </c:pt>
                <c:pt idx="62">
                  <c:v>11.3604</c:v>
                </c:pt>
                <c:pt idx="63">
                  <c:v>12.015599999999999</c:v>
                </c:pt>
                <c:pt idx="64">
                  <c:v>12.484400000000001</c:v>
                </c:pt>
                <c:pt idx="65">
                  <c:v>12.4472</c:v>
                </c:pt>
                <c:pt idx="66">
                  <c:v>11.7242</c:v>
                </c:pt>
                <c:pt idx="67">
                  <c:v>11.7568</c:v>
                </c:pt>
                <c:pt idx="68">
                  <c:v>11.807700000000001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A8-4603-9D4A-62C147A5C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48511"/>
        <c:axId val="509749951"/>
      </c:scatterChart>
      <c:valAx>
        <c:axId val="50974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749951"/>
        <c:crosses val="autoZero"/>
        <c:crossBetween val="midCat"/>
      </c:valAx>
      <c:valAx>
        <c:axId val="5097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74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load (-500 --&gt; 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weight_g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Sheet1!$A$3:$A$71</c:f>
              <c:numCache>
                <c:formatCode>General</c:formatCode>
                <c:ptCount val="69"/>
                <c:pt idx="0">
                  <c:v>791.73500000000001</c:v>
                </c:pt>
                <c:pt idx="1">
                  <c:v>792.173</c:v>
                </c:pt>
                <c:pt idx="2">
                  <c:v>792.61</c:v>
                </c:pt>
                <c:pt idx="3">
                  <c:v>793.04700000000003</c:v>
                </c:pt>
                <c:pt idx="4">
                  <c:v>793.48400000000004</c:v>
                </c:pt>
                <c:pt idx="5">
                  <c:v>793.92100000000005</c:v>
                </c:pt>
                <c:pt idx="6">
                  <c:v>794.35799999999995</c:v>
                </c:pt>
                <c:pt idx="7">
                  <c:v>794.79499999999996</c:v>
                </c:pt>
                <c:pt idx="8">
                  <c:v>795.23199999999997</c:v>
                </c:pt>
                <c:pt idx="9">
                  <c:v>795.66899999999998</c:v>
                </c:pt>
                <c:pt idx="10">
                  <c:v>796.10599999999999</c:v>
                </c:pt>
                <c:pt idx="11">
                  <c:v>796.54300000000001</c:v>
                </c:pt>
                <c:pt idx="12">
                  <c:v>796.98</c:v>
                </c:pt>
                <c:pt idx="17">
                  <c:v>799.16600000000005</c:v>
                </c:pt>
                <c:pt idx="18">
                  <c:v>799.60299999999995</c:v>
                </c:pt>
                <c:pt idx="19">
                  <c:v>800.04</c:v>
                </c:pt>
                <c:pt idx="20">
                  <c:v>800.47699999999998</c:v>
                </c:pt>
                <c:pt idx="21">
                  <c:v>800.91399999999999</c:v>
                </c:pt>
                <c:pt idx="22">
                  <c:v>801.351</c:v>
                </c:pt>
                <c:pt idx="23">
                  <c:v>801.78800000000001</c:v>
                </c:pt>
                <c:pt idx="24">
                  <c:v>802.22500000000002</c:v>
                </c:pt>
                <c:pt idx="25">
                  <c:v>802.66300000000001</c:v>
                </c:pt>
                <c:pt idx="26">
                  <c:v>803.1</c:v>
                </c:pt>
                <c:pt idx="27">
                  <c:v>803.53700000000003</c:v>
                </c:pt>
                <c:pt idx="28">
                  <c:v>803.97400000000005</c:v>
                </c:pt>
                <c:pt idx="29">
                  <c:v>804.41099999999994</c:v>
                </c:pt>
                <c:pt idx="30">
                  <c:v>804.84799999999996</c:v>
                </c:pt>
                <c:pt idx="31">
                  <c:v>805.28499999999997</c:v>
                </c:pt>
                <c:pt idx="32">
                  <c:v>805.72199999999998</c:v>
                </c:pt>
                <c:pt idx="33">
                  <c:v>806.15899999999999</c:v>
                </c:pt>
                <c:pt idx="34">
                  <c:v>806.596</c:v>
                </c:pt>
                <c:pt idx="35">
                  <c:v>807.03300000000002</c:v>
                </c:pt>
                <c:pt idx="36">
                  <c:v>807.47</c:v>
                </c:pt>
                <c:pt idx="37">
                  <c:v>807.90800000000002</c:v>
                </c:pt>
                <c:pt idx="38">
                  <c:v>808.34500000000003</c:v>
                </c:pt>
                <c:pt idx="39">
                  <c:v>808.78200000000004</c:v>
                </c:pt>
                <c:pt idx="40">
                  <c:v>809.21900000000005</c:v>
                </c:pt>
                <c:pt idx="46">
                  <c:v>811.84100000000001</c:v>
                </c:pt>
                <c:pt idx="47">
                  <c:v>812.27800000000002</c:v>
                </c:pt>
                <c:pt idx="48">
                  <c:v>812.71500000000003</c:v>
                </c:pt>
                <c:pt idx="49">
                  <c:v>813.15200000000004</c:v>
                </c:pt>
                <c:pt idx="50">
                  <c:v>813.59</c:v>
                </c:pt>
                <c:pt idx="51">
                  <c:v>814.02700000000004</c:v>
                </c:pt>
                <c:pt idx="52">
                  <c:v>814.46400000000006</c:v>
                </c:pt>
                <c:pt idx="53">
                  <c:v>814.90099999999995</c:v>
                </c:pt>
                <c:pt idx="54">
                  <c:v>815.33799999999997</c:v>
                </c:pt>
                <c:pt idx="55">
                  <c:v>815.77499999999998</c:v>
                </c:pt>
                <c:pt idx="56">
                  <c:v>816.21199999999999</c:v>
                </c:pt>
                <c:pt idx="57">
                  <c:v>816.649</c:v>
                </c:pt>
                <c:pt idx="58">
                  <c:v>817.08600000000001</c:v>
                </c:pt>
                <c:pt idx="59">
                  <c:v>817.52300000000002</c:v>
                </c:pt>
                <c:pt idx="60">
                  <c:v>817.96100000000001</c:v>
                </c:pt>
                <c:pt idx="61">
                  <c:v>818.39800000000002</c:v>
                </c:pt>
                <c:pt idx="62">
                  <c:v>818.83500000000004</c:v>
                </c:pt>
                <c:pt idx="63">
                  <c:v>819.27200000000005</c:v>
                </c:pt>
                <c:pt idx="64">
                  <c:v>819.70899999999995</c:v>
                </c:pt>
                <c:pt idx="65">
                  <c:v>820.14599999999996</c:v>
                </c:pt>
                <c:pt idx="66">
                  <c:v>820.58299999999997</c:v>
                </c:pt>
                <c:pt idx="67">
                  <c:v>821.02</c:v>
                </c:pt>
                <c:pt idx="68">
                  <c:v>821.45699999999999</c:v>
                </c:pt>
              </c:numCache>
            </c:numRef>
          </c:xVal>
          <c:yVal>
            <c:numRef>
              <c:f>Sheet1!$B$3:$B$71</c:f>
              <c:numCache>
                <c:formatCode>General</c:formatCode>
                <c:ptCount val="69"/>
                <c:pt idx="0">
                  <c:v>-12.9407</c:v>
                </c:pt>
                <c:pt idx="1">
                  <c:v>-12.968</c:v>
                </c:pt>
                <c:pt idx="2">
                  <c:v>-12.9763</c:v>
                </c:pt>
                <c:pt idx="3">
                  <c:v>-13.040800000000001</c:v>
                </c:pt>
                <c:pt idx="4">
                  <c:v>-13.092000000000001</c:v>
                </c:pt>
                <c:pt idx="5">
                  <c:v>-13.0114</c:v>
                </c:pt>
                <c:pt idx="6">
                  <c:v>-13.0395</c:v>
                </c:pt>
                <c:pt idx="7">
                  <c:v>-13.1503</c:v>
                </c:pt>
                <c:pt idx="8">
                  <c:v>-13.214399999999999</c:v>
                </c:pt>
                <c:pt idx="9">
                  <c:v>-13.2425</c:v>
                </c:pt>
                <c:pt idx="10">
                  <c:v>-13.2599</c:v>
                </c:pt>
                <c:pt idx="11">
                  <c:v>-13.274800000000001</c:v>
                </c:pt>
                <c:pt idx="12">
                  <c:v>-13.4132</c:v>
                </c:pt>
                <c:pt idx="17">
                  <c:v>1.3715999999999999</c:v>
                </c:pt>
                <c:pt idx="18">
                  <c:v>-0.54110000000000003</c:v>
                </c:pt>
                <c:pt idx="19">
                  <c:v>-1.5163</c:v>
                </c:pt>
                <c:pt idx="20">
                  <c:v>-1.9954000000000001</c:v>
                </c:pt>
                <c:pt idx="21">
                  <c:v>-2.3628999999999998</c:v>
                </c:pt>
                <c:pt idx="22">
                  <c:v>-2.6675</c:v>
                </c:pt>
                <c:pt idx="23">
                  <c:v>-2.7965</c:v>
                </c:pt>
                <c:pt idx="24">
                  <c:v>-2.9411999999999998</c:v>
                </c:pt>
                <c:pt idx="25">
                  <c:v>-3.1019999999999999</c:v>
                </c:pt>
                <c:pt idx="26">
                  <c:v>-3.1553</c:v>
                </c:pt>
                <c:pt idx="27">
                  <c:v>-3.3182</c:v>
                </c:pt>
                <c:pt idx="28">
                  <c:v>-3.3214999999999999</c:v>
                </c:pt>
                <c:pt idx="29">
                  <c:v>-3.3904999999999998</c:v>
                </c:pt>
                <c:pt idx="30">
                  <c:v>-3.4476</c:v>
                </c:pt>
                <c:pt idx="31">
                  <c:v>-3.6240999999999999</c:v>
                </c:pt>
                <c:pt idx="32">
                  <c:v>-3.5802999999999998</c:v>
                </c:pt>
                <c:pt idx="33">
                  <c:v>-3.7158000000000002</c:v>
                </c:pt>
                <c:pt idx="34">
                  <c:v>-3.7753999999999999</c:v>
                </c:pt>
                <c:pt idx="35">
                  <c:v>-3.8393999999999999</c:v>
                </c:pt>
                <c:pt idx="36">
                  <c:v>-3.7845</c:v>
                </c:pt>
                <c:pt idx="37">
                  <c:v>-3.9005999999999998</c:v>
                </c:pt>
                <c:pt idx="38">
                  <c:v>-3.8994</c:v>
                </c:pt>
                <c:pt idx="39">
                  <c:v>-3.8889999999999998</c:v>
                </c:pt>
                <c:pt idx="40">
                  <c:v>-4.0130999999999997</c:v>
                </c:pt>
                <c:pt idx="46">
                  <c:v>-5.0411000000000001</c:v>
                </c:pt>
                <c:pt idx="47">
                  <c:v>-6.2568999999999999</c:v>
                </c:pt>
                <c:pt idx="48">
                  <c:v>-6.9794</c:v>
                </c:pt>
                <c:pt idx="49">
                  <c:v>-7.5693000000000001</c:v>
                </c:pt>
                <c:pt idx="50">
                  <c:v>-7.7644000000000002</c:v>
                </c:pt>
                <c:pt idx="51">
                  <c:v>-7.9199000000000002</c:v>
                </c:pt>
                <c:pt idx="52">
                  <c:v>-8.0989000000000004</c:v>
                </c:pt>
                <c:pt idx="53">
                  <c:v>-8.2659000000000002</c:v>
                </c:pt>
                <c:pt idx="54">
                  <c:v>-8.4374000000000002</c:v>
                </c:pt>
                <c:pt idx="55">
                  <c:v>-8.5626999999999995</c:v>
                </c:pt>
                <c:pt idx="56">
                  <c:v>-8.6457999999999995</c:v>
                </c:pt>
                <c:pt idx="57">
                  <c:v>-8.7528000000000006</c:v>
                </c:pt>
                <c:pt idx="58">
                  <c:v>-9.0190000000000001</c:v>
                </c:pt>
                <c:pt idx="59">
                  <c:v>-9.0257000000000005</c:v>
                </c:pt>
                <c:pt idx="60">
                  <c:v>-9.1782000000000004</c:v>
                </c:pt>
                <c:pt idx="61">
                  <c:v>-9.2211999999999996</c:v>
                </c:pt>
                <c:pt idx="62">
                  <c:v>-9.1930999999999994</c:v>
                </c:pt>
                <c:pt idx="63">
                  <c:v>-9.3291000000000004</c:v>
                </c:pt>
                <c:pt idx="64">
                  <c:v>-9.4928000000000008</c:v>
                </c:pt>
                <c:pt idx="65">
                  <c:v>-9.4981000000000009</c:v>
                </c:pt>
                <c:pt idx="66">
                  <c:v>-9.5556000000000001</c:v>
                </c:pt>
                <c:pt idx="67">
                  <c:v>-9.5940999999999992</c:v>
                </c:pt>
                <c:pt idx="68">
                  <c:v>-9.7073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7-44D2-B907-9F4201832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825695"/>
        <c:axId val="897824255"/>
      </c:scatterChart>
      <c:valAx>
        <c:axId val="89782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824255"/>
        <c:crosses val="autoZero"/>
        <c:crossBetween val="midCat"/>
      </c:valAx>
      <c:valAx>
        <c:axId val="8978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82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4</xdr:row>
      <xdr:rowOff>176212</xdr:rowOff>
    </xdr:from>
    <xdr:to>
      <xdr:col>15</xdr:col>
      <xdr:colOff>85725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8A8D7-A456-94FB-1642-9AA83390B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20</xdr:row>
      <xdr:rowOff>80962</xdr:rowOff>
    </xdr:from>
    <xdr:to>
      <xdr:col>15</xdr:col>
      <xdr:colOff>57150</xdr:colOff>
      <xdr:row>34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E93DC0-B62A-AA92-332C-C46C5ECC8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F84BB6-5530-44ED-8A99-09AB7E0A178A}" name="Table1" displayName="Table1" ref="A2:B72" totalsRowCount="1" headerRowDxfId="8" dataDxfId="9">
  <autoFilter ref="A2:B71" xr:uid="{84F84BB6-5530-44ED-8A99-09AB7E0A178A}"/>
  <tableColumns count="2">
    <tableColumn id="1" xr3:uid="{98C5C257-9BA5-41D1-8D08-FEFE826A68A4}" name="time_s" dataDxfId="11" totalsRowDxfId="1"/>
    <tableColumn id="2" xr3:uid="{B0BD8C8C-6F5C-4457-AD70-AB4E4CB03141}" name="weight_g" totalsRowFunction="custom" dataDxfId="10" totalsRowDxfId="0">
      <totalsRowFormula>SUBTOTAL(101,B3:B71)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05C5A-6D10-43B4-9823-D393E8F3F53D}" name="Table2" displayName="Table2" ref="D2:E72" totalsRowCount="1" headerRowDxfId="4" dataDxfId="5">
  <autoFilter ref="D2:E71" xr:uid="{86705C5A-6D10-43B4-9823-D393E8F3F53D}"/>
  <tableColumns count="2">
    <tableColumn id="1" xr3:uid="{0BC2D61A-9E80-4628-A065-AD51CF96022B}" name="time_s" dataDxfId="7" totalsRowDxfId="3"/>
    <tableColumn id="2" xr3:uid="{3D7249ED-EE03-41AC-8868-7FB1225BB143}" name="weight_g" totalsRowFunction="average" dataDxfId="6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S5" sqref="S5"/>
    </sheetView>
  </sheetViews>
  <sheetFormatPr defaultRowHeight="15" x14ac:dyDescent="0.25"/>
  <cols>
    <col min="2" max="2" width="11" customWidth="1"/>
    <col min="5" max="5" width="11" customWidth="1"/>
  </cols>
  <sheetData>
    <row r="1" spans="1:5" x14ac:dyDescent="0.25">
      <c r="A1" t="s">
        <v>2</v>
      </c>
      <c r="D1" t="s">
        <v>3</v>
      </c>
    </row>
    <row r="2" spans="1:5" x14ac:dyDescent="0.25">
      <c r="A2" s="1" t="s">
        <v>0</v>
      </c>
      <c r="B2" s="1" t="s">
        <v>1</v>
      </c>
      <c r="D2" s="1" t="s">
        <v>0</v>
      </c>
      <c r="E2" s="1" t="s">
        <v>1</v>
      </c>
    </row>
    <row r="3" spans="1:5" x14ac:dyDescent="0.25">
      <c r="A3" s="1">
        <v>791.73500000000001</v>
      </c>
      <c r="B3" s="1">
        <v>-12.9407</v>
      </c>
      <c r="D3" s="1">
        <v>864.73099999999999</v>
      </c>
      <c r="E3" s="1">
        <v>14.051500000000001</v>
      </c>
    </row>
    <row r="4" spans="1:5" x14ac:dyDescent="0.25">
      <c r="A4" s="1">
        <v>792.173</v>
      </c>
      <c r="B4" s="1">
        <v>-12.968</v>
      </c>
      <c r="D4" s="1">
        <v>865.16800000000001</v>
      </c>
      <c r="E4" s="1">
        <v>14.092000000000001</v>
      </c>
    </row>
    <row r="5" spans="1:5" x14ac:dyDescent="0.25">
      <c r="A5" s="1">
        <v>792.61</v>
      </c>
      <c r="B5" s="1">
        <v>-12.9763</v>
      </c>
      <c r="D5" s="1">
        <v>865.60500000000002</v>
      </c>
      <c r="E5" s="1">
        <v>14.151899999999999</v>
      </c>
    </row>
    <row r="6" spans="1:5" x14ac:dyDescent="0.25">
      <c r="A6" s="1">
        <v>793.04700000000003</v>
      </c>
      <c r="B6" s="1">
        <v>-13.040800000000001</v>
      </c>
      <c r="D6" s="1">
        <v>866.04200000000003</v>
      </c>
      <c r="E6" s="1">
        <v>14.1738</v>
      </c>
    </row>
    <row r="7" spans="1:5" x14ac:dyDescent="0.25">
      <c r="A7" s="1">
        <v>793.48400000000004</v>
      </c>
      <c r="B7" s="1">
        <v>-13.092000000000001</v>
      </c>
      <c r="D7" s="1">
        <v>866.47900000000004</v>
      </c>
      <c r="E7" s="1">
        <v>14.1858</v>
      </c>
    </row>
    <row r="8" spans="1:5" x14ac:dyDescent="0.25">
      <c r="A8" s="1">
        <v>793.92100000000005</v>
      </c>
      <c r="B8" s="1">
        <v>-13.0114</v>
      </c>
      <c r="D8" s="1">
        <v>866.91600000000005</v>
      </c>
      <c r="E8" s="1">
        <v>14.192500000000001</v>
      </c>
    </row>
    <row r="9" spans="1:5" x14ac:dyDescent="0.25">
      <c r="A9" s="1">
        <v>794.35799999999995</v>
      </c>
      <c r="B9" s="1">
        <v>-13.0395</v>
      </c>
      <c r="D9" s="1">
        <v>867.35299999999995</v>
      </c>
      <c r="E9" s="1">
        <v>14.222200000000001</v>
      </c>
    </row>
    <row r="10" spans="1:5" x14ac:dyDescent="0.25">
      <c r="A10" s="1">
        <v>794.79499999999996</v>
      </c>
      <c r="B10" s="1">
        <v>-13.1503</v>
      </c>
      <c r="D10" s="1"/>
      <c r="E10" s="1"/>
    </row>
    <row r="11" spans="1:5" x14ac:dyDescent="0.25">
      <c r="A11" s="1">
        <v>795.23199999999997</v>
      </c>
      <c r="B11" s="1">
        <v>-13.214399999999999</v>
      </c>
      <c r="D11" s="1"/>
      <c r="E11" s="1"/>
    </row>
    <row r="12" spans="1:5" x14ac:dyDescent="0.25">
      <c r="A12" s="1">
        <v>795.66899999999998</v>
      </c>
      <c r="B12" s="1">
        <v>-13.2425</v>
      </c>
      <c r="D12" s="1"/>
      <c r="E12" s="1"/>
    </row>
    <row r="13" spans="1:5" x14ac:dyDescent="0.25">
      <c r="A13" s="1">
        <v>796.10599999999999</v>
      </c>
      <c r="B13" s="1">
        <v>-13.2599</v>
      </c>
      <c r="D13" s="1"/>
      <c r="E13" s="1"/>
    </row>
    <row r="14" spans="1:5" x14ac:dyDescent="0.25">
      <c r="A14" s="1">
        <v>796.54300000000001</v>
      </c>
      <c r="B14" s="1">
        <v>-13.274800000000001</v>
      </c>
      <c r="D14" s="1"/>
      <c r="E14" s="1"/>
    </row>
    <row r="15" spans="1:5" x14ac:dyDescent="0.25">
      <c r="A15" s="1">
        <v>796.98</v>
      </c>
      <c r="B15" s="1">
        <v>-13.4132</v>
      </c>
      <c r="D15" s="1"/>
      <c r="E15" s="1"/>
    </row>
    <row r="16" spans="1:5" x14ac:dyDescent="0.25">
      <c r="A16" s="1"/>
      <c r="B16" s="1"/>
      <c r="D16" s="1"/>
      <c r="E16" s="1"/>
    </row>
    <row r="17" spans="1:5" x14ac:dyDescent="0.25">
      <c r="A17" s="1"/>
      <c r="B17" s="1"/>
      <c r="D17" s="1"/>
      <c r="E17" s="1"/>
    </row>
    <row r="18" spans="1:5" x14ac:dyDescent="0.25">
      <c r="A18" s="1"/>
      <c r="B18" s="1"/>
      <c r="D18" s="1">
        <v>871.28800000000001</v>
      </c>
      <c r="E18" s="1">
        <v>17.7636</v>
      </c>
    </row>
    <row r="19" spans="1:5" x14ac:dyDescent="0.25">
      <c r="A19" s="1"/>
      <c r="B19" s="1"/>
      <c r="D19" s="1">
        <v>871.72500000000002</v>
      </c>
      <c r="E19" s="1">
        <v>18.151800000000001</v>
      </c>
    </row>
    <row r="20" spans="1:5" x14ac:dyDescent="0.25">
      <c r="A20" s="1">
        <v>799.16600000000005</v>
      </c>
      <c r="B20" s="1">
        <v>1.3715999999999999</v>
      </c>
      <c r="D20" s="1">
        <v>872.16200000000003</v>
      </c>
      <c r="E20" s="1">
        <v>18.6007</v>
      </c>
    </row>
    <row r="21" spans="1:5" x14ac:dyDescent="0.25">
      <c r="A21" s="1">
        <v>799.60299999999995</v>
      </c>
      <c r="B21" s="1">
        <v>-0.54110000000000003</v>
      </c>
      <c r="D21" s="1">
        <v>872.59900000000005</v>
      </c>
      <c r="E21" s="1">
        <v>18.983499999999999</v>
      </c>
    </row>
    <row r="22" spans="1:5" x14ac:dyDescent="0.25">
      <c r="A22" s="1">
        <v>800.04</v>
      </c>
      <c r="B22" s="1">
        <v>-1.5163</v>
      </c>
      <c r="D22" s="1">
        <v>873.03599999999994</v>
      </c>
      <c r="E22" s="1">
        <v>19.253399999999999</v>
      </c>
    </row>
    <row r="23" spans="1:5" x14ac:dyDescent="0.25">
      <c r="A23" s="1">
        <v>800.47699999999998</v>
      </c>
      <c r="B23" s="1">
        <v>-1.9954000000000001</v>
      </c>
      <c r="D23" s="1">
        <v>873.47299999999996</v>
      </c>
      <c r="E23" s="1">
        <v>19.3886</v>
      </c>
    </row>
    <row r="24" spans="1:5" x14ac:dyDescent="0.25">
      <c r="A24" s="1">
        <v>800.91399999999999</v>
      </c>
      <c r="B24" s="1">
        <v>-2.3628999999999998</v>
      </c>
      <c r="D24" s="1">
        <v>873.91</v>
      </c>
      <c r="E24" s="1">
        <v>19.6738</v>
      </c>
    </row>
    <row r="25" spans="1:5" x14ac:dyDescent="0.25">
      <c r="A25" s="1">
        <v>801.351</v>
      </c>
      <c r="B25" s="1">
        <v>-2.6675</v>
      </c>
      <c r="D25" s="1">
        <v>874.34699999999998</v>
      </c>
      <c r="E25" s="1">
        <v>19.737100000000002</v>
      </c>
    </row>
    <row r="26" spans="1:5" x14ac:dyDescent="0.25">
      <c r="A26" s="1">
        <v>801.78800000000001</v>
      </c>
      <c r="B26" s="1">
        <v>-2.7965</v>
      </c>
      <c r="D26" s="1">
        <v>874.78399999999999</v>
      </c>
      <c r="E26" s="1">
        <v>19.868099999999998</v>
      </c>
    </row>
    <row r="27" spans="1:5" x14ac:dyDescent="0.25">
      <c r="A27" s="1">
        <v>802.22500000000002</v>
      </c>
      <c r="B27" s="1">
        <v>-2.9411999999999998</v>
      </c>
      <c r="D27" s="1">
        <v>875.221</v>
      </c>
      <c r="E27" s="1">
        <v>19.963200000000001</v>
      </c>
    </row>
    <row r="28" spans="1:5" x14ac:dyDescent="0.25">
      <c r="A28" s="1">
        <v>802.66300000000001</v>
      </c>
      <c r="B28" s="1">
        <v>-3.1019999999999999</v>
      </c>
      <c r="D28" s="1">
        <v>875.65899999999999</v>
      </c>
      <c r="E28" s="1">
        <v>20.062000000000001</v>
      </c>
    </row>
    <row r="29" spans="1:5" x14ac:dyDescent="0.25">
      <c r="A29" s="1">
        <v>803.1</v>
      </c>
      <c r="B29" s="1">
        <v>-3.1553</v>
      </c>
      <c r="D29" s="1">
        <v>876.096</v>
      </c>
      <c r="E29" s="1">
        <v>20.136399999999998</v>
      </c>
    </row>
    <row r="30" spans="1:5" x14ac:dyDescent="0.25">
      <c r="A30" s="1">
        <v>803.53700000000003</v>
      </c>
      <c r="B30" s="1">
        <v>-3.3182</v>
      </c>
      <c r="D30" s="1">
        <v>876.53300000000002</v>
      </c>
      <c r="E30" s="1">
        <v>20.219100000000001</v>
      </c>
    </row>
    <row r="31" spans="1:5" x14ac:dyDescent="0.25">
      <c r="A31" s="1">
        <v>803.97400000000005</v>
      </c>
      <c r="B31" s="1">
        <v>-3.3214999999999999</v>
      </c>
      <c r="D31" s="1">
        <v>876.97</v>
      </c>
      <c r="E31" s="1">
        <v>20.229399999999998</v>
      </c>
    </row>
    <row r="32" spans="1:5" x14ac:dyDescent="0.25">
      <c r="A32" s="1">
        <v>804.41099999999994</v>
      </c>
      <c r="B32" s="1">
        <v>-3.3904999999999998</v>
      </c>
      <c r="D32" s="1">
        <v>877.40700000000004</v>
      </c>
      <c r="E32" s="1">
        <v>20.240600000000001</v>
      </c>
    </row>
    <row r="33" spans="1:5" x14ac:dyDescent="0.25">
      <c r="A33" s="1">
        <v>804.84799999999996</v>
      </c>
      <c r="B33" s="1">
        <v>-3.4476</v>
      </c>
      <c r="D33" s="1">
        <v>877.84400000000005</v>
      </c>
      <c r="E33" s="1">
        <v>20.349299999999999</v>
      </c>
    </row>
    <row r="34" spans="1:5" x14ac:dyDescent="0.25">
      <c r="A34" s="1">
        <v>805.28499999999997</v>
      </c>
      <c r="B34" s="1">
        <v>-3.6240999999999999</v>
      </c>
      <c r="D34" s="1">
        <v>878.28099999999995</v>
      </c>
      <c r="E34" s="1">
        <v>20.3323</v>
      </c>
    </row>
    <row r="35" spans="1:5" x14ac:dyDescent="0.25">
      <c r="A35" s="1">
        <v>805.72199999999998</v>
      </c>
      <c r="B35" s="1">
        <v>-3.5802999999999998</v>
      </c>
      <c r="D35" s="1">
        <v>878.71799999999996</v>
      </c>
      <c r="E35" s="1">
        <v>20.448899999999998</v>
      </c>
    </row>
    <row r="36" spans="1:5" x14ac:dyDescent="0.25">
      <c r="A36" s="1">
        <v>806.15899999999999</v>
      </c>
      <c r="B36" s="1">
        <v>-3.7158000000000002</v>
      </c>
      <c r="D36" s="1">
        <v>879.15499999999997</v>
      </c>
      <c r="E36" s="1">
        <v>20.4072</v>
      </c>
    </row>
    <row r="37" spans="1:5" x14ac:dyDescent="0.25">
      <c r="A37" s="1">
        <v>806.596</v>
      </c>
      <c r="B37" s="1">
        <v>-3.7753999999999999</v>
      </c>
      <c r="D37" s="1">
        <v>879.59299999999996</v>
      </c>
      <c r="E37" s="1">
        <v>20.4315</v>
      </c>
    </row>
    <row r="38" spans="1:5" x14ac:dyDescent="0.25">
      <c r="A38" s="1">
        <v>807.03300000000002</v>
      </c>
      <c r="B38" s="1">
        <v>-3.8393999999999999</v>
      </c>
      <c r="D38" s="1">
        <v>880.03</v>
      </c>
      <c r="E38" s="1">
        <v>20.4237</v>
      </c>
    </row>
    <row r="39" spans="1:5" x14ac:dyDescent="0.25">
      <c r="A39" s="1">
        <v>807.47</v>
      </c>
      <c r="B39" s="1">
        <v>-3.7845</v>
      </c>
      <c r="D39" s="1">
        <v>880.46699999999998</v>
      </c>
      <c r="E39" s="1">
        <v>20.5121</v>
      </c>
    </row>
    <row r="40" spans="1:5" x14ac:dyDescent="0.25">
      <c r="A40" s="1">
        <v>807.90800000000002</v>
      </c>
      <c r="B40" s="1">
        <v>-3.9005999999999998</v>
      </c>
      <c r="D40" s="1">
        <v>880.904</v>
      </c>
      <c r="E40" s="1">
        <v>20.456800000000001</v>
      </c>
    </row>
    <row r="41" spans="1:5" x14ac:dyDescent="0.25">
      <c r="A41" s="1">
        <v>808.34500000000003</v>
      </c>
      <c r="B41" s="1">
        <v>-3.8994</v>
      </c>
      <c r="D41" s="1">
        <v>881.34100000000001</v>
      </c>
      <c r="E41" s="1">
        <v>20.470400000000001</v>
      </c>
    </row>
    <row r="42" spans="1:5" x14ac:dyDescent="0.25">
      <c r="A42" s="1">
        <v>808.78200000000004</v>
      </c>
      <c r="B42" s="1">
        <v>-3.8889999999999998</v>
      </c>
      <c r="D42" s="1">
        <v>881.77800000000002</v>
      </c>
      <c r="E42" s="1">
        <v>20.526599999999998</v>
      </c>
    </row>
    <row r="43" spans="1:5" x14ac:dyDescent="0.25">
      <c r="A43" s="1">
        <v>809.21900000000005</v>
      </c>
      <c r="B43" s="1">
        <v>-4.0130999999999997</v>
      </c>
      <c r="D43" s="1">
        <v>882.21500000000003</v>
      </c>
      <c r="E43" s="1">
        <v>20.498899999999999</v>
      </c>
    </row>
    <row r="44" spans="1:5" x14ac:dyDescent="0.25">
      <c r="A44" s="1"/>
      <c r="B44" s="1"/>
      <c r="D44" s="1">
        <v>882.65200000000004</v>
      </c>
      <c r="E44" s="1">
        <v>20.495999999999999</v>
      </c>
    </row>
    <row r="45" spans="1:5" x14ac:dyDescent="0.25">
      <c r="A45" s="1"/>
      <c r="B45" s="1"/>
      <c r="D45" s="1">
        <v>883.09</v>
      </c>
      <c r="E45" s="1">
        <v>20.505500000000001</v>
      </c>
    </row>
    <row r="46" spans="1:5" x14ac:dyDescent="0.25">
      <c r="A46" s="1"/>
      <c r="B46" s="1"/>
      <c r="D46" s="1">
        <v>883.52700000000004</v>
      </c>
      <c r="E46" s="1">
        <v>20.545200000000001</v>
      </c>
    </row>
    <row r="47" spans="1:5" x14ac:dyDescent="0.25">
      <c r="A47" s="1"/>
      <c r="B47" s="1"/>
      <c r="D47" s="1">
        <v>883.96400000000006</v>
      </c>
      <c r="E47" s="1">
        <v>20.583300000000001</v>
      </c>
    </row>
    <row r="48" spans="1:5" x14ac:dyDescent="0.25">
      <c r="A48" s="1"/>
      <c r="B48" s="1"/>
      <c r="D48" s="1">
        <v>884.40099999999995</v>
      </c>
      <c r="E48" s="1">
        <v>20.610499999999998</v>
      </c>
    </row>
    <row r="49" spans="1:5" x14ac:dyDescent="0.25">
      <c r="A49" s="1">
        <v>811.84100000000001</v>
      </c>
      <c r="B49" s="1">
        <v>-5.0411000000000001</v>
      </c>
      <c r="D49" s="1">
        <v>884.83799999999997</v>
      </c>
      <c r="E49" s="1">
        <v>20.467099999999999</v>
      </c>
    </row>
    <row r="50" spans="1:5" x14ac:dyDescent="0.25">
      <c r="A50" s="1">
        <v>812.27800000000002</v>
      </c>
      <c r="B50" s="1">
        <v>-6.2568999999999999</v>
      </c>
      <c r="D50" s="1">
        <v>885.27499999999998</v>
      </c>
      <c r="E50" s="1">
        <v>20.473700000000001</v>
      </c>
    </row>
    <row r="51" spans="1:5" x14ac:dyDescent="0.25">
      <c r="A51" s="1">
        <v>812.71500000000003</v>
      </c>
      <c r="B51" s="1">
        <v>-6.9794</v>
      </c>
      <c r="D51" s="1">
        <v>885.71199999999999</v>
      </c>
      <c r="E51" s="1">
        <v>20.308800000000002</v>
      </c>
    </row>
    <row r="52" spans="1:5" x14ac:dyDescent="0.25">
      <c r="A52" s="1">
        <v>813.15200000000004</v>
      </c>
      <c r="B52" s="1">
        <v>-7.5693000000000001</v>
      </c>
      <c r="D52" s="1">
        <v>886.149</v>
      </c>
      <c r="E52" s="1">
        <v>20.340199999999999</v>
      </c>
    </row>
    <row r="53" spans="1:5" x14ac:dyDescent="0.25">
      <c r="A53" s="1">
        <v>813.59</v>
      </c>
      <c r="B53" s="1">
        <v>-7.7644000000000002</v>
      </c>
      <c r="D53" s="1">
        <v>886.58699999999999</v>
      </c>
      <c r="E53" s="1">
        <v>20.295500000000001</v>
      </c>
    </row>
    <row r="54" spans="1:5" x14ac:dyDescent="0.25">
      <c r="A54" s="1">
        <v>814.02700000000004</v>
      </c>
      <c r="B54" s="1">
        <v>-7.9199000000000002</v>
      </c>
      <c r="D54" s="1">
        <v>887.024</v>
      </c>
      <c r="E54" s="1">
        <v>20.371600000000001</v>
      </c>
    </row>
    <row r="55" spans="1:5" x14ac:dyDescent="0.25">
      <c r="A55" s="1">
        <v>814.46400000000006</v>
      </c>
      <c r="B55" s="1">
        <v>-8.0989000000000004</v>
      </c>
      <c r="D55" s="1">
        <v>887.46100000000001</v>
      </c>
      <c r="E55" s="1">
        <v>20.290600000000001</v>
      </c>
    </row>
    <row r="56" spans="1:5" x14ac:dyDescent="0.25">
      <c r="A56" s="1">
        <v>814.90099999999995</v>
      </c>
      <c r="B56" s="1">
        <v>-8.2659000000000002</v>
      </c>
      <c r="D56" s="1">
        <v>887.89800000000002</v>
      </c>
      <c r="E56" s="1">
        <v>20.3447</v>
      </c>
    </row>
    <row r="57" spans="1:5" x14ac:dyDescent="0.25">
      <c r="A57" s="1">
        <v>815.33799999999997</v>
      </c>
      <c r="B57" s="1">
        <v>-8.4374000000000002</v>
      </c>
      <c r="D57" s="1">
        <v>888.33500000000004</v>
      </c>
      <c r="E57" s="1">
        <v>20.278199999999998</v>
      </c>
    </row>
    <row r="58" spans="1:5" x14ac:dyDescent="0.25">
      <c r="A58" s="1">
        <v>815.77499999999998</v>
      </c>
      <c r="B58" s="1">
        <v>-8.5626999999999995</v>
      </c>
      <c r="D58" s="1"/>
      <c r="E58" s="1"/>
    </row>
    <row r="59" spans="1:5" x14ac:dyDescent="0.25">
      <c r="A59" s="1">
        <v>816.21199999999999</v>
      </c>
      <c r="B59" s="1">
        <v>-8.6457999999999995</v>
      </c>
      <c r="D59" s="1"/>
      <c r="E59" s="1"/>
    </row>
    <row r="60" spans="1:5" x14ac:dyDescent="0.25">
      <c r="A60" s="1">
        <v>816.649</v>
      </c>
      <c r="B60" s="1">
        <v>-8.7528000000000006</v>
      </c>
      <c r="D60" s="1"/>
      <c r="E60" s="1"/>
    </row>
    <row r="61" spans="1:5" x14ac:dyDescent="0.25">
      <c r="A61" s="1">
        <v>817.08600000000001</v>
      </c>
      <c r="B61" s="1">
        <v>-9.0190000000000001</v>
      </c>
      <c r="D61" s="1"/>
      <c r="E61" s="1"/>
    </row>
    <row r="62" spans="1:5" x14ac:dyDescent="0.25">
      <c r="A62" s="1">
        <v>817.52300000000002</v>
      </c>
      <c r="B62" s="1">
        <v>-9.0257000000000005</v>
      </c>
      <c r="D62" s="1"/>
      <c r="E62" s="1"/>
    </row>
    <row r="63" spans="1:5" x14ac:dyDescent="0.25">
      <c r="A63" s="1">
        <v>817.96100000000001</v>
      </c>
      <c r="B63" s="1">
        <v>-9.1782000000000004</v>
      </c>
      <c r="D63" s="1"/>
      <c r="E63" s="1"/>
    </row>
    <row r="64" spans="1:5" x14ac:dyDescent="0.25">
      <c r="A64" s="1">
        <v>818.39800000000002</v>
      </c>
      <c r="B64" s="1">
        <v>-9.2211999999999996</v>
      </c>
      <c r="D64" s="1">
        <v>891.39499999999998</v>
      </c>
      <c r="E64" s="1">
        <v>9.9855</v>
      </c>
    </row>
    <row r="65" spans="1:5" x14ac:dyDescent="0.25">
      <c r="A65" s="1">
        <v>818.83500000000004</v>
      </c>
      <c r="B65" s="1">
        <v>-9.1930999999999994</v>
      </c>
      <c r="D65" s="1">
        <v>891.83199999999999</v>
      </c>
      <c r="E65" s="1">
        <v>11.3604</v>
      </c>
    </row>
    <row r="66" spans="1:5" x14ac:dyDescent="0.25">
      <c r="A66" s="1">
        <v>819.27200000000005</v>
      </c>
      <c r="B66" s="1">
        <v>-9.3291000000000004</v>
      </c>
      <c r="D66" s="1">
        <v>892.26900000000001</v>
      </c>
      <c r="E66" s="1">
        <v>12.015599999999999</v>
      </c>
    </row>
    <row r="67" spans="1:5" x14ac:dyDescent="0.25">
      <c r="A67" s="1">
        <v>819.70899999999995</v>
      </c>
      <c r="B67" s="1">
        <v>-9.4928000000000008</v>
      </c>
      <c r="D67" s="1">
        <v>892.70600000000002</v>
      </c>
      <c r="E67" s="1">
        <v>12.484400000000001</v>
      </c>
    </row>
    <row r="68" spans="1:5" x14ac:dyDescent="0.25">
      <c r="A68" s="1">
        <v>820.14599999999996</v>
      </c>
      <c r="B68" s="1">
        <v>-9.4981000000000009</v>
      </c>
      <c r="D68" s="1">
        <v>893.14400000000001</v>
      </c>
      <c r="E68" s="1">
        <v>12.4472</v>
      </c>
    </row>
    <row r="69" spans="1:5" x14ac:dyDescent="0.25">
      <c r="A69" s="1">
        <v>820.58299999999997</v>
      </c>
      <c r="B69" s="1">
        <v>-9.5556000000000001</v>
      </c>
      <c r="D69" s="1">
        <v>893.58100000000002</v>
      </c>
      <c r="E69" s="1">
        <v>11.7242</v>
      </c>
    </row>
    <row r="70" spans="1:5" x14ac:dyDescent="0.25">
      <c r="A70" s="1">
        <v>821.02</v>
      </c>
      <c r="B70" s="1">
        <v>-9.5940999999999992</v>
      </c>
      <c r="D70" s="1">
        <v>894.01800000000003</v>
      </c>
      <c r="E70" s="1">
        <v>11.7568</v>
      </c>
    </row>
    <row r="71" spans="1:5" x14ac:dyDescent="0.25">
      <c r="A71" s="1">
        <v>821.45699999999999</v>
      </c>
      <c r="B71" s="1">
        <v>-9.7073</v>
      </c>
      <c r="D71" s="1">
        <v>894.45500000000004</v>
      </c>
      <c r="E71" s="1">
        <v>11.807700000000001</v>
      </c>
    </row>
    <row r="72" spans="1:5" x14ac:dyDescent="0.25">
      <c r="A72" s="1"/>
      <c r="B72" s="1">
        <f>SUBTOTAL(101,B3:B71)</f>
        <v>-7.2823083333333338</v>
      </c>
      <c r="D72" s="1"/>
      <c r="E72" s="1">
        <f>SUBTOTAL(101,Table2[weight_g])</f>
        <v>18.103480000000001</v>
      </c>
    </row>
    <row r="73" spans="1:5" x14ac:dyDescent="0.25">
      <c r="B73">
        <f>_xlfn.STDEV.S(Table1[weight_g])</f>
        <v>4.0963234044685919</v>
      </c>
      <c r="E73">
        <f>_xlfn.STDEV.S(Table2[weight_g])</f>
        <v>3.3743630718831628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pmuo8837 / KOCH Fabian Lukas / Fabian Lukas KOCH</cp:lastModifiedBy>
  <dcterms:created xsi:type="dcterms:W3CDTF">2015-06-05T18:17:20Z</dcterms:created>
  <dcterms:modified xsi:type="dcterms:W3CDTF">2026-06-11T05:36:21Z</dcterms:modified>
</cp:coreProperties>
</file>