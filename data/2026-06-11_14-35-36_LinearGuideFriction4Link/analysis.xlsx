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tmdacjp-my.sharepoint.com/personal/koch_f_f64c_m_isct_ac_jp/Documents/Documents/4-Software/data/2026-06-11_14-35-36_LinearGuideFriction4Link/"/>
    </mc:Choice>
  </mc:AlternateContent>
  <xr:revisionPtr revIDLastSave="7" documentId="11_F25DC773A252ABDACC10488D295E6C425BDE58E5" xr6:coauthVersionLast="47" xr6:coauthVersionMax="47" xr10:uidLastSave="{AE2ADEFF-D46A-4754-8993-F58833D3D219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3" i="1" l="1"/>
  <c r="B72" i="1"/>
  <c r="B33" i="1"/>
  <c r="E73" i="1"/>
  <c r="E72" i="1"/>
  <c r="E40" i="1"/>
</calcChain>
</file>

<file path=xl/sharedStrings.xml><?xml version="1.0" encoding="utf-8"?>
<sst xmlns="http://schemas.openxmlformats.org/spreadsheetml/2006/main" count="8" uniqueCount="5">
  <si>
    <t>time_s</t>
  </si>
  <si>
    <t>weight_g</t>
  </si>
  <si>
    <t>no linear guide</t>
  </si>
  <si>
    <t>with linear guide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</si>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</sst>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without</a:t>
            </a:r>
            <a:r>
              <a:rPr lang="en-GB" baseline="0"/>
              <a:t> linear guide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weight_g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Sheet1!$A$3:$A$71</c:f>
              <c:numCache>
                <c:formatCode>General</c:formatCode>
                <c:ptCount val="69"/>
                <c:pt idx="0">
                  <c:v>622.43200000000002</c:v>
                </c:pt>
                <c:pt idx="1">
                  <c:v>622.86900000000003</c:v>
                </c:pt>
                <c:pt idx="2">
                  <c:v>623.30600000000004</c:v>
                </c:pt>
                <c:pt idx="3">
                  <c:v>623.74300000000005</c:v>
                </c:pt>
                <c:pt idx="4">
                  <c:v>624.17999999999995</c:v>
                </c:pt>
                <c:pt idx="5">
                  <c:v>624.61699999999996</c:v>
                </c:pt>
                <c:pt idx="6">
                  <c:v>625.05399999999997</c:v>
                </c:pt>
                <c:pt idx="10">
                  <c:v>626.803</c:v>
                </c:pt>
                <c:pt idx="11">
                  <c:v>627.24</c:v>
                </c:pt>
                <c:pt idx="12">
                  <c:v>627.67700000000002</c:v>
                </c:pt>
                <c:pt idx="13">
                  <c:v>628.11400000000003</c:v>
                </c:pt>
                <c:pt idx="14">
                  <c:v>628.55100000000004</c:v>
                </c:pt>
                <c:pt idx="15">
                  <c:v>628.98800000000006</c:v>
                </c:pt>
                <c:pt idx="16">
                  <c:v>629.42499999999995</c:v>
                </c:pt>
                <c:pt idx="17">
                  <c:v>629.86199999999997</c:v>
                </c:pt>
                <c:pt idx="18">
                  <c:v>630.29899999999998</c:v>
                </c:pt>
                <c:pt idx="19">
                  <c:v>630.73599999999999</c:v>
                </c:pt>
                <c:pt idx="20">
                  <c:v>631.173</c:v>
                </c:pt>
                <c:pt idx="21">
                  <c:v>631.61</c:v>
                </c:pt>
                <c:pt idx="22">
                  <c:v>632.04700000000003</c:v>
                </c:pt>
                <c:pt idx="23">
                  <c:v>632.48400000000004</c:v>
                </c:pt>
                <c:pt idx="24">
                  <c:v>632.92100000000005</c:v>
                </c:pt>
                <c:pt idx="25">
                  <c:v>633.35799999999995</c:v>
                </c:pt>
                <c:pt idx="26">
                  <c:v>633.79499999999996</c:v>
                </c:pt>
                <c:pt idx="27">
                  <c:v>634.23199999999997</c:v>
                </c:pt>
                <c:pt idx="28">
                  <c:v>634.66899999999998</c:v>
                </c:pt>
                <c:pt idx="29">
                  <c:v>635.10599999999999</c:v>
                </c:pt>
                <c:pt idx="36">
                  <c:v>638.16499999999996</c:v>
                </c:pt>
                <c:pt idx="37">
                  <c:v>638.601</c:v>
                </c:pt>
                <c:pt idx="38">
                  <c:v>639.03800000000001</c:v>
                </c:pt>
                <c:pt idx="39">
                  <c:v>639.47500000000002</c:v>
                </c:pt>
                <c:pt idx="40">
                  <c:v>639.91200000000003</c:v>
                </c:pt>
                <c:pt idx="41">
                  <c:v>640.34900000000005</c:v>
                </c:pt>
                <c:pt idx="42">
                  <c:v>640.78599999999994</c:v>
                </c:pt>
                <c:pt idx="43">
                  <c:v>641.22299999999996</c:v>
                </c:pt>
                <c:pt idx="44">
                  <c:v>641.66</c:v>
                </c:pt>
                <c:pt idx="45">
                  <c:v>642.09699999999998</c:v>
                </c:pt>
                <c:pt idx="46">
                  <c:v>642.53399999999999</c:v>
                </c:pt>
                <c:pt idx="47">
                  <c:v>642.971</c:v>
                </c:pt>
                <c:pt idx="48">
                  <c:v>643.40800000000002</c:v>
                </c:pt>
                <c:pt idx="49">
                  <c:v>643.84500000000003</c:v>
                </c:pt>
                <c:pt idx="50">
                  <c:v>644.28200000000004</c:v>
                </c:pt>
                <c:pt idx="51">
                  <c:v>644.71900000000005</c:v>
                </c:pt>
                <c:pt idx="52">
                  <c:v>645.15599999999995</c:v>
                </c:pt>
                <c:pt idx="53">
                  <c:v>645.59299999999996</c:v>
                </c:pt>
                <c:pt idx="54">
                  <c:v>646.03</c:v>
                </c:pt>
                <c:pt idx="55">
                  <c:v>646.46699999999998</c:v>
                </c:pt>
                <c:pt idx="56">
                  <c:v>646.904</c:v>
                </c:pt>
                <c:pt idx="57">
                  <c:v>647.34100000000001</c:v>
                </c:pt>
                <c:pt idx="58">
                  <c:v>647.77800000000002</c:v>
                </c:pt>
                <c:pt idx="59">
                  <c:v>648.21500000000003</c:v>
                </c:pt>
                <c:pt idx="60">
                  <c:v>648.65200000000004</c:v>
                </c:pt>
                <c:pt idx="61">
                  <c:v>649.08900000000006</c:v>
                </c:pt>
                <c:pt idx="62">
                  <c:v>649.52599999999995</c:v>
                </c:pt>
                <c:pt idx="63">
                  <c:v>649.96299999999997</c:v>
                </c:pt>
                <c:pt idx="64">
                  <c:v>650.399</c:v>
                </c:pt>
                <c:pt idx="65">
                  <c:v>650.83600000000001</c:v>
                </c:pt>
                <c:pt idx="66">
                  <c:v>651.27300000000002</c:v>
                </c:pt>
                <c:pt idx="67">
                  <c:v>651.71</c:v>
                </c:pt>
                <c:pt idx="68">
                  <c:v>652.14700000000005</c:v>
                </c:pt>
              </c:numCache>
            </c:numRef>
          </c:xVal>
          <c:yVal>
            <c:numRef>
              <c:f>Sheet1!$B$3:$B$71</c:f>
              <c:numCache>
                <c:formatCode>General</c:formatCode>
                <c:ptCount val="69"/>
                <c:pt idx="0">
                  <c:v>17.6815</c:v>
                </c:pt>
                <c:pt idx="1">
                  <c:v>17.739999999999998</c:v>
                </c:pt>
                <c:pt idx="2">
                  <c:v>17.538</c:v>
                </c:pt>
                <c:pt idx="3">
                  <c:v>17.648299999999999</c:v>
                </c:pt>
                <c:pt idx="4">
                  <c:v>17.581199999999999</c:v>
                </c:pt>
                <c:pt idx="5">
                  <c:v>17.553000000000001</c:v>
                </c:pt>
                <c:pt idx="6">
                  <c:v>17.615200000000002</c:v>
                </c:pt>
                <c:pt idx="10">
                  <c:v>16.5687</c:v>
                </c:pt>
                <c:pt idx="11">
                  <c:v>17.235199999999999</c:v>
                </c:pt>
                <c:pt idx="12">
                  <c:v>17.669499999999999</c:v>
                </c:pt>
                <c:pt idx="13">
                  <c:v>17.805499999999999</c:v>
                </c:pt>
                <c:pt idx="14">
                  <c:v>17.762</c:v>
                </c:pt>
                <c:pt idx="15">
                  <c:v>17.781099999999999</c:v>
                </c:pt>
                <c:pt idx="16">
                  <c:v>17.891400000000001</c:v>
                </c:pt>
                <c:pt idx="17">
                  <c:v>17.651700000000002</c:v>
                </c:pt>
                <c:pt idx="18">
                  <c:v>17.6952</c:v>
                </c:pt>
                <c:pt idx="19">
                  <c:v>16.7454</c:v>
                </c:pt>
                <c:pt idx="20">
                  <c:v>16.6645</c:v>
                </c:pt>
                <c:pt idx="21">
                  <c:v>16.843299999999999</c:v>
                </c:pt>
                <c:pt idx="22">
                  <c:v>16.940300000000001</c:v>
                </c:pt>
                <c:pt idx="23">
                  <c:v>17.064800000000002</c:v>
                </c:pt>
                <c:pt idx="24">
                  <c:v>17.216200000000001</c:v>
                </c:pt>
                <c:pt idx="25">
                  <c:v>17.385400000000001</c:v>
                </c:pt>
                <c:pt idx="26">
                  <c:v>17.4435</c:v>
                </c:pt>
                <c:pt idx="27">
                  <c:v>17.486999999999998</c:v>
                </c:pt>
                <c:pt idx="28">
                  <c:v>17.540099999999999</c:v>
                </c:pt>
                <c:pt idx="29">
                  <c:v>17.7562</c:v>
                </c:pt>
                <c:pt idx="30">
                  <c:v>17.35735</c:v>
                </c:pt>
                <c:pt idx="36">
                  <c:v>8.6951999999999998</c:v>
                </c:pt>
                <c:pt idx="37">
                  <c:v>8.3691999999999993</c:v>
                </c:pt>
                <c:pt idx="38">
                  <c:v>8.1158000000000001</c:v>
                </c:pt>
                <c:pt idx="39">
                  <c:v>7.9344999999999999</c:v>
                </c:pt>
                <c:pt idx="40">
                  <c:v>7.8743999999999996</c:v>
                </c:pt>
                <c:pt idx="41">
                  <c:v>7.7267000000000001</c:v>
                </c:pt>
                <c:pt idx="42">
                  <c:v>7.7022000000000004</c:v>
                </c:pt>
                <c:pt idx="43">
                  <c:v>7.7026000000000003</c:v>
                </c:pt>
                <c:pt idx="44">
                  <c:v>7.7001999999999997</c:v>
                </c:pt>
                <c:pt idx="45">
                  <c:v>7.6661000000000001</c:v>
                </c:pt>
                <c:pt idx="46">
                  <c:v>7.7706999999999997</c:v>
                </c:pt>
                <c:pt idx="47">
                  <c:v>7.6603000000000003</c:v>
                </c:pt>
                <c:pt idx="48">
                  <c:v>7.6218000000000004</c:v>
                </c:pt>
                <c:pt idx="49">
                  <c:v>7.6798000000000002</c:v>
                </c:pt>
                <c:pt idx="50">
                  <c:v>7.7241999999999997</c:v>
                </c:pt>
                <c:pt idx="51">
                  <c:v>7.6391999999999998</c:v>
                </c:pt>
                <c:pt idx="52">
                  <c:v>7.7076000000000002</c:v>
                </c:pt>
                <c:pt idx="53">
                  <c:v>7.6740000000000004</c:v>
                </c:pt>
                <c:pt idx="54">
                  <c:v>7.6595000000000004</c:v>
                </c:pt>
                <c:pt idx="55">
                  <c:v>7.7076000000000002</c:v>
                </c:pt>
                <c:pt idx="56">
                  <c:v>7.7404000000000002</c:v>
                </c:pt>
                <c:pt idx="57">
                  <c:v>7.7736000000000001</c:v>
                </c:pt>
                <c:pt idx="58">
                  <c:v>7.7382999999999997</c:v>
                </c:pt>
                <c:pt idx="59">
                  <c:v>7.8681000000000001</c:v>
                </c:pt>
                <c:pt idx="60">
                  <c:v>7.8071999999999999</c:v>
                </c:pt>
                <c:pt idx="61">
                  <c:v>7.8209</c:v>
                </c:pt>
                <c:pt idx="62">
                  <c:v>7.8308</c:v>
                </c:pt>
                <c:pt idx="63">
                  <c:v>7.8846999999999996</c:v>
                </c:pt>
                <c:pt idx="64">
                  <c:v>7.8498999999999999</c:v>
                </c:pt>
                <c:pt idx="65">
                  <c:v>7.8697999999999997</c:v>
                </c:pt>
                <c:pt idx="66">
                  <c:v>7.8597999999999999</c:v>
                </c:pt>
                <c:pt idx="67">
                  <c:v>7.8655999999999997</c:v>
                </c:pt>
                <c:pt idx="68">
                  <c:v>7.8685999999999998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61-46FF-B046-67464F114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727280"/>
        <c:axId val="823728720"/>
      </c:scatterChart>
      <c:valAx>
        <c:axId val="82372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28720"/>
        <c:crosses val="autoZero"/>
        <c:crossBetween val="midCat"/>
      </c:valAx>
      <c:valAx>
        <c:axId val="82372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F_out [g]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2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with linear</a:t>
            </a:r>
            <a:r>
              <a:rPr lang="en-GB" baseline="0"/>
              <a:t> guide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weight_g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Sheet1!$D$3:$D$71</c:f>
              <c:numCache>
                <c:formatCode>General</c:formatCode>
                <c:ptCount val="69"/>
                <c:pt idx="0">
                  <c:v>813.79200000000003</c:v>
                </c:pt>
                <c:pt idx="1">
                  <c:v>814.22900000000004</c:v>
                </c:pt>
                <c:pt idx="2">
                  <c:v>814.66600000000005</c:v>
                </c:pt>
                <c:pt idx="3">
                  <c:v>815.10299999999995</c:v>
                </c:pt>
                <c:pt idx="4">
                  <c:v>815.54</c:v>
                </c:pt>
                <c:pt idx="5">
                  <c:v>815.976</c:v>
                </c:pt>
                <c:pt idx="6">
                  <c:v>816.41300000000001</c:v>
                </c:pt>
                <c:pt idx="7">
                  <c:v>816.85</c:v>
                </c:pt>
                <c:pt idx="8">
                  <c:v>817.28700000000003</c:v>
                </c:pt>
                <c:pt idx="9">
                  <c:v>817.72400000000005</c:v>
                </c:pt>
                <c:pt idx="13">
                  <c:v>819.471</c:v>
                </c:pt>
                <c:pt idx="14">
                  <c:v>819.90800000000002</c:v>
                </c:pt>
                <c:pt idx="15">
                  <c:v>820.34500000000003</c:v>
                </c:pt>
                <c:pt idx="16">
                  <c:v>820.78200000000004</c:v>
                </c:pt>
                <c:pt idx="17">
                  <c:v>821.21900000000005</c:v>
                </c:pt>
                <c:pt idx="18">
                  <c:v>821.65599999999995</c:v>
                </c:pt>
                <c:pt idx="19">
                  <c:v>822.09299999999996</c:v>
                </c:pt>
                <c:pt idx="20">
                  <c:v>822.53</c:v>
                </c:pt>
                <c:pt idx="21">
                  <c:v>822.96600000000001</c:v>
                </c:pt>
                <c:pt idx="22">
                  <c:v>823.40300000000002</c:v>
                </c:pt>
                <c:pt idx="23">
                  <c:v>823.84</c:v>
                </c:pt>
                <c:pt idx="24">
                  <c:v>824.27700000000004</c:v>
                </c:pt>
                <c:pt idx="25">
                  <c:v>824.71400000000006</c:v>
                </c:pt>
                <c:pt idx="26">
                  <c:v>825.15099999999995</c:v>
                </c:pt>
                <c:pt idx="27">
                  <c:v>825.58799999999997</c:v>
                </c:pt>
                <c:pt idx="28">
                  <c:v>826.02499999999998</c:v>
                </c:pt>
                <c:pt idx="29">
                  <c:v>826.46199999999999</c:v>
                </c:pt>
                <c:pt idx="30">
                  <c:v>826.899</c:v>
                </c:pt>
                <c:pt idx="31">
                  <c:v>827.33500000000004</c:v>
                </c:pt>
                <c:pt idx="32">
                  <c:v>827.77200000000005</c:v>
                </c:pt>
                <c:pt idx="33">
                  <c:v>828.20899999999995</c:v>
                </c:pt>
                <c:pt idx="34">
                  <c:v>828.64599999999996</c:v>
                </c:pt>
                <c:pt idx="35">
                  <c:v>829.08299999999997</c:v>
                </c:pt>
                <c:pt idx="36">
                  <c:v>829.52</c:v>
                </c:pt>
                <c:pt idx="40">
                  <c:v>831.26700000000005</c:v>
                </c:pt>
                <c:pt idx="41">
                  <c:v>831.70399999999995</c:v>
                </c:pt>
                <c:pt idx="42">
                  <c:v>832.14099999999996</c:v>
                </c:pt>
                <c:pt idx="43">
                  <c:v>832.57799999999997</c:v>
                </c:pt>
                <c:pt idx="44">
                  <c:v>833.01499999999999</c:v>
                </c:pt>
                <c:pt idx="45">
                  <c:v>833.452</c:v>
                </c:pt>
                <c:pt idx="46">
                  <c:v>833.88900000000001</c:v>
                </c:pt>
                <c:pt idx="47">
                  <c:v>834.32600000000002</c:v>
                </c:pt>
                <c:pt idx="48">
                  <c:v>834.76300000000003</c:v>
                </c:pt>
                <c:pt idx="49">
                  <c:v>835.19899999999996</c:v>
                </c:pt>
                <c:pt idx="50">
                  <c:v>835.63599999999997</c:v>
                </c:pt>
                <c:pt idx="51">
                  <c:v>836.07299999999998</c:v>
                </c:pt>
                <c:pt idx="52">
                  <c:v>836.51</c:v>
                </c:pt>
                <c:pt idx="53">
                  <c:v>836.947</c:v>
                </c:pt>
                <c:pt idx="54">
                  <c:v>837.38400000000001</c:v>
                </c:pt>
                <c:pt idx="55">
                  <c:v>837.82100000000003</c:v>
                </c:pt>
                <c:pt idx="56">
                  <c:v>838.25699999999995</c:v>
                </c:pt>
                <c:pt idx="57">
                  <c:v>838.69399999999996</c:v>
                </c:pt>
                <c:pt idx="58">
                  <c:v>839.13099999999997</c:v>
                </c:pt>
                <c:pt idx="59">
                  <c:v>839.56799999999998</c:v>
                </c:pt>
                <c:pt idx="60">
                  <c:v>840.005</c:v>
                </c:pt>
                <c:pt idx="61">
                  <c:v>840.44200000000001</c:v>
                </c:pt>
                <c:pt idx="62">
                  <c:v>840.87900000000002</c:v>
                </c:pt>
                <c:pt idx="63">
                  <c:v>841.31600000000003</c:v>
                </c:pt>
                <c:pt idx="64">
                  <c:v>841.75199999999995</c:v>
                </c:pt>
                <c:pt idx="65">
                  <c:v>842.18899999999996</c:v>
                </c:pt>
                <c:pt idx="66">
                  <c:v>842.62599999999998</c:v>
                </c:pt>
                <c:pt idx="67">
                  <c:v>843.06299999999999</c:v>
                </c:pt>
                <c:pt idx="68">
                  <c:v>843.5</c:v>
                </c:pt>
              </c:numCache>
            </c:numRef>
          </c:xVal>
          <c:yVal>
            <c:numRef>
              <c:f>Sheet1!$E$3:$E$71</c:f>
              <c:numCache>
                <c:formatCode>General</c:formatCode>
                <c:ptCount val="69"/>
                <c:pt idx="0">
                  <c:v>32.140700000000002</c:v>
                </c:pt>
                <c:pt idx="1">
                  <c:v>32.115000000000002</c:v>
                </c:pt>
                <c:pt idx="2">
                  <c:v>32.195500000000003</c:v>
                </c:pt>
                <c:pt idx="3">
                  <c:v>32.185099999999998</c:v>
                </c:pt>
                <c:pt idx="4">
                  <c:v>32.292099999999998</c:v>
                </c:pt>
                <c:pt idx="5">
                  <c:v>32.480400000000003</c:v>
                </c:pt>
                <c:pt idx="6">
                  <c:v>32.524799999999999</c:v>
                </c:pt>
                <c:pt idx="7">
                  <c:v>32.433100000000003</c:v>
                </c:pt>
                <c:pt idx="8">
                  <c:v>32.564999999999998</c:v>
                </c:pt>
                <c:pt idx="9">
                  <c:v>32.722700000000003</c:v>
                </c:pt>
                <c:pt idx="13">
                  <c:v>46.7791</c:v>
                </c:pt>
                <c:pt idx="14">
                  <c:v>48.470100000000002</c:v>
                </c:pt>
                <c:pt idx="15">
                  <c:v>48.910600000000002</c:v>
                </c:pt>
                <c:pt idx="16">
                  <c:v>48.983600000000003</c:v>
                </c:pt>
                <c:pt idx="17">
                  <c:v>49.058700000000002</c:v>
                </c:pt>
                <c:pt idx="18">
                  <c:v>49.087699999999998</c:v>
                </c:pt>
                <c:pt idx="19">
                  <c:v>49.048299999999998</c:v>
                </c:pt>
                <c:pt idx="20">
                  <c:v>48.942100000000003</c:v>
                </c:pt>
                <c:pt idx="21">
                  <c:v>48.9251</c:v>
                </c:pt>
                <c:pt idx="22">
                  <c:v>48.748399999999997</c:v>
                </c:pt>
                <c:pt idx="23">
                  <c:v>48.640599999999999</c:v>
                </c:pt>
                <c:pt idx="24">
                  <c:v>48.640599999999999</c:v>
                </c:pt>
                <c:pt idx="25">
                  <c:v>48.6447</c:v>
                </c:pt>
                <c:pt idx="26">
                  <c:v>48.815600000000003</c:v>
                </c:pt>
                <c:pt idx="27">
                  <c:v>49.016399999999997</c:v>
                </c:pt>
                <c:pt idx="28">
                  <c:v>49.195999999999998</c:v>
                </c:pt>
                <c:pt idx="29">
                  <c:v>49.242400000000004</c:v>
                </c:pt>
                <c:pt idx="30">
                  <c:v>49.277700000000003</c:v>
                </c:pt>
                <c:pt idx="31">
                  <c:v>49.322099999999999</c:v>
                </c:pt>
                <c:pt idx="32">
                  <c:v>49.378500000000003</c:v>
                </c:pt>
                <c:pt idx="33">
                  <c:v>49.383400000000002</c:v>
                </c:pt>
                <c:pt idx="34">
                  <c:v>49.497500000000002</c:v>
                </c:pt>
                <c:pt idx="35">
                  <c:v>49.541499999999999</c:v>
                </c:pt>
                <c:pt idx="36">
                  <c:v>49.349800000000002</c:v>
                </c:pt>
                <c:pt idx="37">
                  <c:v>48.954187499999996</c:v>
                </c:pt>
                <c:pt idx="40">
                  <c:v>14.7956</c:v>
                </c:pt>
                <c:pt idx="41">
                  <c:v>13.450100000000001</c:v>
                </c:pt>
                <c:pt idx="42">
                  <c:v>13.464600000000001</c:v>
                </c:pt>
                <c:pt idx="43">
                  <c:v>13.394500000000001</c:v>
                </c:pt>
                <c:pt idx="44">
                  <c:v>13.543799999999999</c:v>
                </c:pt>
                <c:pt idx="45">
                  <c:v>13.491099999999999</c:v>
                </c:pt>
                <c:pt idx="46">
                  <c:v>13.580299999999999</c:v>
                </c:pt>
                <c:pt idx="47">
                  <c:v>13.527200000000001</c:v>
                </c:pt>
                <c:pt idx="48">
                  <c:v>13.6454</c:v>
                </c:pt>
                <c:pt idx="49">
                  <c:v>13.599</c:v>
                </c:pt>
                <c:pt idx="50">
                  <c:v>13.420199999999999</c:v>
                </c:pt>
                <c:pt idx="51">
                  <c:v>13.4613</c:v>
                </c:pt>
                <c:pt idx="52">
                  <c:v>13.4779</c:v>
                </c:pt>
                <c:pt idx="53">
                  <c:v>13.532999999999999</c:v>
                </c:pt>
                <c:pt idx="54">
                  <c:v>13.5198</c:v>
                </c:pt>
                <c:pt idx="55">
                  <c:v>13.460900000000001</c:v>
                </c:pt>
                <c:pt idx="56">
                  <c:v>13.5845</c:v>
                </c:pt>
                <c:pt idx="57">
                  <c:v>13.645799999999999</c:v>
                </c:pt>
                <c:pt idx="58">
                  <c:v>13.4953</c:v>
                </c:pt>
                <c:pt idx="59">
                  <c:v>13.6591</c:v>
                </c:pt>
                <c:pt idx="60">
                  <c:v>13.567</c:v>
                </c:pt>
                <c:pt idx="61">
                  <c:v>13.6205</c:v>
                </c:pt>
                <c:pt idx="62">
                  <c:v>13.576599999999999</c:v>
                </c:pt>
                <c:pt idx="63">
                  <c:v>13.696</c:v>
                </c:pt>
                <c:pt idx="64">
                  <c:v>13.593999999999999</c:v>
                </c:pt>
                <c:pt idx="65">
                  <c:v>13.542999999999999</c:v>
                </c:pt>
                <c:pt idx="66">
                  <c:v>13.6073</c:v>
                </c:pt>
                <c:pt idx="67">
                  <c:v>13.601900000000001</c:v>
                </c:pt>
                <c:pt idx="68">
                  <c:v>13.508599999999999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D0-4016-993A-6244F81EA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733040"/>
        <c:axId val="828446208"/>
      </c:scatterChart>
      <c:valAx>
        <c:axId val="8237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  <a:r>
                  <a:rPr lang="en-GB" baseline="0"/>
                  <a:t> [s]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446208"/>
        <c:crosses val="autoZero"/>
        <c:crossBetween val="midCat"/>
      </c:valAx>
      <c:valAx>
        <c:axId val="82844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F_out </a:t>
                </a:r>
                <a:r>
                  <a:rPr lang="en-GB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[g]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3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5</xdr:row>
      <xdr:rowOff>185737</xdr:rowOff>
    </xdr:from>
    <xdr:to>
      <xdr:col>13</xdr:col>
      <xdr:colOff>495300</xdr:colOff>
      <xdr:row>20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0E494A-F0DB-2AF8-133D-3EB7DEB48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171450</xdr:colOff>
      <xdr:row>21</xdr:row>
      <xdr:rowOff>4762</xdr:rowOff>
    </xdr:from>
    <xdr:to>
      <xdr:col>13</xdr:col>
      <xdr:colOff>476250</xdr:colOff>
      <xdr:row>35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F4FB00-6C2A-99E6-DEA0-3F9D0499C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F0D73D-7F54-4C1E-80FF-7C2AAC3BEA58}" name="Table1" displayName="Table1" ref="A2:B72" totalsRowCount="1" headerRowDxfId="11" dataDxfId="10">
  <autoFilter ref="A2:B71" xr:uid="{59F0D73D-7F54-4C1E-80FF-7C2AAC3BEA58}"/>
  <tableColumns count="2">
    <tableColumn id="1" xr3:uid="{6BDFDF64-0DBE-435E-9E7B-F1C878AC1B9D}" name="time_s" dataDxfId="9" totalsRowDxfId="8"/>
    <tableColumn id="3" xr3:uid="{48BCCE56-2144-45E0-8CB2-9383DAFD2B6D}" name="weight_g" totalsRowFunction="custom" dataDxfId="7" totalsRowDxfId="6">
      <totalsRowFormula>AVERAGE(B39:B71)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B54A34-8307-43C2-81D6-DC483E0BF2F5}" name="Table2" displayName="Table2" ref="D2:E72" totalsRowCount="1" headerRowDxfId="5" dataDxfId="4">
  <autoFilter ref="D2:E71" xr:uid="{FDB54A34-8307-43C2-81D6-DC483E0BF2F5}"/>
  <tableColumns count="2">
    <tableColumn id="1" xr3:uid="{DE03365B-8051-4DD9-AED7-E84C9B4942D0}" name="time_s" dataDxfId="3" totalsRowDxfId="2"/>
    <tableColumn id="3" xr3:uid="{6BA92F2D-3C9D-4E57-873D-628D5CEFDC01}" name="weight_g" totalsRowFunction="custom" dataDxfId="1" totalsRowDxfId="0">
      <totalsRowFormula>AVERAGE(E43:E71)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R29" sqref="R29"/>
    </sheetView>
  </sheetViews>
  <sheetFormatPr defaultRowHeight="15" x14ac:dyDescent="0.25"/>
  <cols>
    <col min="2" max="2" width="11" customWidth="1"/>
    <col min="5" max="5" width="11" customWidth="1"/>
  </cols>
  <sheetData>
    <row r="1" spans="1:5" x14ac:dyDescent="0.25">
      <c r="A1" t="s">
        <v>2</v>
      </c>
      <c r="D1" t="s">
        <v>3</v>
      </c>
    </row>
    <row r="2" spans="1:5" x14ac:dyDescent="0.25">
      <c r="A2" s="1" t="s">
        <v>0</v>
      </c>
      <c r="B2" s="1" t="s">
        <v>1</v>
      </c>
      <c r="D2" s="1" t="s">
        <v>0</v>
      </c>
      <c r="E2" s="1" t="s">
        <v>1</v>
      </c>
    </row>
    <row r="3" spans="1:5" x14ac:dyDescent="0.25">
      <c r="A3" s="1">
        <v>622.43200000000002</v>
      </c>
      <c r="B3" s="1">
        <v>17.6815</v>
      </c>
      <c r="D3" s="1">
        <v>813.79200000000003</v>
      </c>
      <c r="E3" s="1">
        <v>32.140700000000002</v>
      </c>
    </row>
    <row r="4" spans="1:5" x14ac:dyDescent="0.25">
      <c r="A4" s="1">
        <v>622.86900000000003</v>
      </c>
      <c r="B4" s="1">
        <v>17.739999999999998</v>
      </c>
      <c r="D4" s="1">
        <v>814.22900000000004</v>
      </c>
      <c r="E4" s="1">
        <v>32.115000000000002</v>
      </c>
    </row>
    <row r="5" spans="1:5" x14ac:dyDescent="0.25">
      <c r="A5" s="1">
        <v>623.30600000000004</v>
      </c>
      <c r="B5" s="1">
        <v>17.538</v>
      </c>
      <c r="D5" s="1">
        <v>814.66600000000005</v>
      </c>
      <c r="E5" s="1">
        <v>32.195500000000003</v>
      </c>
    </row>
    <row r="6" spans="1:5" x14ac:dyDescent="0.25">
      <c r="A6" s="1">
        <v>623.74300000000005</v>
      </c>
      <c r="B6" s="1">
        <v>17.648299999999999</v>
      </c>
      <c r="D6" s="1">
        <v>815.10299999999995</v>
      </c>
      <c r="E6" s="1">
        <v>32.185099999999998</v>
      </c>
    </row>
    <row r="7" spans="1:5" x14ac:dyDescent="0.25">
      <c r="A7" s="1">
        <v>624.17999999999995</v>
      </c>
      <c r="B7" s="1">
        <v>17.581199999999999</v>
      </c>
      <c r="D7" s="1">
        <v>815.54</v>
      </c>
      <c r="E7" s="1">
        <v>32.292099999999998</v>
      </c>
    </row>
    <row r="8" spans="1:5" x14ac:dyDescent="0.25">
      <c r="A8" s="1">
        <v>624.61699999999996</v>
      </c>
      <c r="B8" s="1">
        <v>17.553000000000001</v>
      </c>
      <c r="D8" s="1">
        <v>815.976</v>
      </c>
      <c r="E8" s="1">
        <v>32.480400000000003</v>
      </c>
    </row>
    <row r="9" spans="1:5" x14ac:dyDescent="0.25">
      <c r="A9" s="1">
        <v>625.05399999999997</v>
      </c>
      <c r="B9" s="1">
        <v>17.615200000000002</v>
      </c>
      <c r="D9" s="1">
        <v>816.41300000000001</v>
      </c>
      <c r="E9" s="1">
        <v>32.524799999999999</v>
      </c>
    </row>
    <row r="10" spans="1:5" x14ac:dyDescent="0.25">
      <c r="A10" s="1"/>
      <c r="B10" s="1"/>
      <c r="D10" s="1">
        <v>816.85</v>
      </c>
      <c r="E10" s="1">
        <v>32.433100000000003</v>
      </c>
    </row>
    <row r="11" spans="1:5" x14ac:dyDescent="0.25">
      <c r="A11" s="1"/>
      <c r="B11" s="1"/>
      <c r="D11" s="1">
        <v>817.28700000000003</v>
      </c>
      <c r="E11" s="1">
        <v>32.564999999999998</v>
      </c>
    </row>
    <row r="12" spans="1:5" x14ac:dyDescent="0.25">
      <c r="A12" s="1"/>
      <c r="B12" s="1"/>
      <c r="D12" s="1">
        <v>817.72400000000005</v>
      </c>
      <c r="E12" s="1">
        <v>32.722700000000003</v>
      </c>
    </row>
    <row r="13" spans="1:5" x14ac:dyDescent="0.25">
      <c r="A13" s="1">
        <v>626.803</v>
      </c>
      <c r="B13" s="1">
        <v>16.5687</v>
      </c>
      <c r="D13" s="1"/>
      <c r="E13" s="1"/>
    </row>
    <row r="14" spans="1:5" x14ac:dyDescent="0.25">
      <c r="A14" s="1">
        <v>627.24</v>
      </c>
      <c r="B14" s="1">
        <v>17.235199999999999</v>
      </c>
      <c r="D14" s="1"/>
      <c r="E14" s="1"/>
    </row>
    <row r="15" spans="1:5" x14ac:dyDescent="0.25">
      <c r="A15" s="1">
        <v>627.67700000000002</v>
      </c>
      <c r="B15" s="1">
        <v>17.669499999999999</v>
      </c>
      <c r="D15" s="1"/>
      <c r="E15" s="1"/>
    </row>
    <row r="16" spans="1:5" x14ac:dyDescent="0.25">
      <c r="A16" s="1">
        <v>628.11400000000003</v>
      </c>
      <c r="B16" s="1">
        <v>17.805499999999999</v>
      </c>
      <c r="D16" s="1">
        <v>819.471</v>
      </c>
      <c r="E16" s="1">
        <v>46.7791</v>
      </c>
    </row>
    <row r="17" spans="1:5" x14ac:dyDescent="0.25">
      <c r="A17" s="1">
        <v>628.55100000000004</v>
      </c>
      <c r="B17" s="1">
        <v>17.762</v>
      </c>
      <c r="D17" s="1">
        <v>819.90800000000002</v>
      </c>
      <c r="E17" s="1">
        <v>48.470100000000002</v>
      </c>
    </row>
    <row r="18" spans="1:5" x14ac:dyDescent="0.25">
      <c r="A18" s="1">
        <v>628.98800000000006</v>
      </c>
      <c r="B18" s="1">
        <v>17.781099999999999</v>
      </c>
      <c r="D18" s="1">
        <v>820.34500000000003</v>
      </c>
      <c r="E18" s="1">
        <v>48.910600000000002</v>
      </c>
    </row>
    <row r="19" spans="1:5" x14ac:dyDescent="0.25">
      <c r="A19" s="1">
        <v>629.42499999999995</v>
      </c>
      <c r="B19" s="1">
        <v>17.891400000000001</v>
      </c>
      <c r="D19" s="1">
        <v>820.78200000000004</v>
      </c>
      <c r="E19" s="1">
        <v>48.983600000000003</v>
      </c>
    </row>
    <row r="20" spans="1:5" x14ac:dyDescent="0.25">
      <c r="A20" s="1">
        <v>629.86199999999997</v>
      </c>
      <c r="B20" s="1">
        <v>17.651700000000002</v>
      </c>
      <c r="D20" s="1">
        <v>821.21900000000005</v>
      </c>
      <c r="E20" s="1">
        <v>49.058700000000002</v>
      </c>
    </row>
    <row r="21" spans="1:5" x14ac:dyDescent="0.25">
      <c r="A21" s="1">
        <v>630.29899999999998</v>
      </c>
      <c r="B21" s="1">
        <v>17.6952</v>
      </c>
      <c r="D21" s="1">
        <v>821.65599999999995</v>
      </c>
      <c r="E21" s="1">
        <v>49.087699999999998</v>
      </c>
    </row>
    <row r="22" spans="1:5" x14ac:dyDescent="0.25">
      <c r="A22" s="1">
        <v>630.73599999999999</v>
      </c>
      <c r="B22" s="1">
        <v>16.7454</v>
      </c>
      <c r="D22" s="1">
        <v>822.09299999999996</v>
      </c>
      <c r="E22" s="1">
        <v>49.048299999999998</v>
      </c>
    </row>
    <row r="23" spans="1:5" x14ac:dyDescent="0.25">
      <c r="A23" s="1">
        <v>631.173</v>
      </c>
      <c r="B23" s="1">
        <v>16.6645</v>
      </c>
      <c r="D23" s="1">
        <v>822.53</v>
      </c>
      <c r="E23" s="1">
        <v>48.942100000000003</v>
      </c>
    </row>
    <row r="24" spans="1:5" x14ac:dyDescent="0.25">
      <c r="A24" s="1">
        <v>631.61</v>
      </c>
      <c r="B24" s="1">
        <v>16.843299999999999</v>
      </c>
      <c r="D24" s="1">
        <v>822.96600000000001</v>
      </c>
      <c r="E24" s="1">
        <v>48.9251</v>
      </c>
    </row>
    <row r="25" spans="1:5" x14ac:dyDescent="0.25">
      <c r="A25" s="1">
        <v>632.04700000000003</v>
      </c>
      <c r="B25" s="1">
        <v>16.940300000000001</v>
      </c>
      <c r="D25" s="1">
        <v>823.40300000000002</v>
      </c>
      <c r="E25" s="1">
        <v>48.748399999999997</v>
      </c>
    </row>
    <row r="26" spans="1:5" x14ac:dyDescent="0.25">
      <c r="A26" s="1">
        <v>632.48400000000004</v>
      </c>
      <c r="B26" s="1">
        <v>17.064800000000002</v>
      </c>
      <c r="D26" s="1">
        <v>823.84</v>
      </c>
      <c r="E26" s="1">
        <v>48.640599999999999</v>
      </c>
    </row>
    <row r="27" spans="1:5" x14ac:dyDescent="0.25">
      <c r="A27" s="1">
        <v>632.92100000000005</v>
      </c>
      <c r="B27" s="1">
        <v>17.216200000000001</v>
      </c>
      <c r="D27" s="1">
        <v>824.27700000000004</v>
      </c>
      <c r="E27" s="1">
        <v>48.640599999999999</v>
      </c>
    </row>
    <row r="28" spans="1:5" x14ac:dyDescent="0.25">
      <c r="A28" s="1">
        <v>633.35799999999995</v>
      </c>
      <c r="B28" s="1">
        <v>17.385400000000001</v>
      </c>
      <c r="D28" s="1">
        <v>824.71400000000006</v>
      </c>
      <c r="E28" s="1">
        <v>48.6447</v>
      </c>
    </row>
    <row r="29" spans="1:5" x14ac:dyDescent="0.25">
      <c r="A29" s="1">
        <v>633.79499999999996</v>
      </c>
      <c r="B29" s="1">
        <v>17.4435</v>
      </c>
      <c r="D29" s="1">
        <v>825.15099999999995</v>
      </c>
      <c r="E29" s="1">
        <v>48.815600000000003</v>
      </c>
    </row>
    <row r="30" spans="1:5" x14ac:dyDescent="0.25">
      <c r="A30" s="1">
        <v>634.23199999999997</v>
      </c>
      <c r="B30" s="1">
        <v>17.486999999999998</v>
      </c>
      <c r="D30" s="1">
        <v>825.58799999999997</v>
      </c>
      <c r="E30" s="1">
        <v>49.016399999999997</v>
      </c>
    </row>
    <row r="31" spans="1:5" x14ac:dyDescent="0.25">
      <c r="A31" s="1">
        <v>634.66899999999998</v>
      </c>
      <c r="B31" s="1">
        <v>17.540099999999999</v>
      </c>
      <c r="D31" s="1">
        <v>826.02499999999998</v>
      </c>
      <c r="E31" s="1">
        <v>49.195999999999998</v>
      </c>
    </row>
    <row r="32" spans="1:5" x14ac:dyDescent="0.25">
      <c r="A32" s="1">
        <v>635.10599999999999</v>
      </c>
      <c r="B32" s="1">
        <v>17.7562</v>
      </c>
      <c r="D32" s="1">
        <v>826.46199999999999</v>
      </c>
      <c r="E32" s="1">
        <v>49.242400000000004</v>
      </c>
    </row>
    <row r="33" spans="1:5" x14ac:dyDescent="0.25">
      <c r="A33" s="1"/>
      <c r="B33" s="2">
        <f>AVERAGE(B13:B32)</f>
        <v>17.35735</v>
      </c>
      <c r="D33" s="1">
        <v>826.899</v>
      </c>
      <c r="E33" s="1">
        <v>49.277700000000003</v>
      </c>
    </row>
    <row r="34" spans="1:5" x14ac:dyDescent="0.25">
      <c r="A34" s="1"/>
      <c r="B34" s="1"/>
      <c r="D34" s="1">
        <v>827.33500000000004</v>
      </c>
      <c r="E34" s="1">
        <v>49.322099999999999</v>
      </c>
    </row>
    <row r="35" spans="1:5" x14ac:dyDescent="0.25">
      <c r="A35" s="1"/>
      <c r="B35" s="1"/>
      <c r="D35" s="1">
        <v>827.77200000000005</v>
      </c>
      <c r="E35" s="1">
        <v>49.378500000000003</v>
      </c>
    </row>
    <row r="36" spans="1:5" x14ac:dyDescent="0.25">
      <c r="A36" s="1"/>
      <c r="B36" s="1"/>
      <c r="D36" s="1">
        <v>828.20899999999995</v>
      </c>
      <c r="E36" s="1">
        <v>49.383400000000002</v>
      </c>
    </row>
    <row r="37" spans="1:5" x14ac:dyDescent="0.25">
      <c r="A37" s="1"/>
      <c r="B37" s="1"/>
      <c r="D37" s="1">
        <v>828.64599999999996</v>
      </c>
      <c r="E37" s="1">
        <v>49.497500000000002</v>
      </c>
    </row>
    <row r="38" spans="1:5" x14ac:dyDescent="0.25">
      <c r="A38" s="1"/>
      <c r="B38" s="1"/>
      <c r="D38" s="1">
        <v>829.08299999999997</v>
      </c>
      <c r="E38" s="1">
        <v>49.541499999999999</v>
      </c>
    </row>
    <row r="39" spans="1:5" x14ac:dyDescent="0.25">
      <c r="A39" s="1">
        <v>638.16499999999996</v>
      </c>
      <c r="B39" s="1">
        <v>8.6951999999999998</v>
      </c>
      <c r="D39" s="1">
        <v>829.52</v>
      </c>
      <c r="E39" s="1">
        <v>49.349800000000002</v>
      </c>
    </row>
    <row r="40" spans="1:5" x14ac:dyDescent="0.25">
      <c r="A40" s="1">
        <v>638.601</v>
      </c>
      <c r="B40" s="1">
        <v>8.3691999999999993</v>
      </c>
      <c r="D40" s="1"/>
      <c r="E40" s="2">
        <f>AVERAGE(E16:E39)</f>
        <v>48.954187499999996</v>
      </c>
    </row>
    <row r="41" spans="1:5" x14ac:dyDescent="0.25">
      <c r="A41" s="1">
        <v>639.03800000000001</v>
      </c>
      <c r="B41" s="1">
        <v>8.1158000000000001</v>
      </c>
      <c r="D41" s="1"/>
      <c r="E41" s="1"/>
    </row>
    <row r="42" spans="1:5" x14ac:dyDescent="0.25">
      <c r="A42" s="1">
        <v>639.47500000000002</v>
      </c>
      <c r="B42" s="1">
        <v>7.9344999999999999</v>
      </c>
      <c r="D42" s="1"/>
      <c r="E42" s="1"/>
    </row>
    <row r="43" spans="1:5" x14ac:dyDescent="0.25">
      <c r="A43" s="1">
        <v>639.91200000000003</v>
      </c>
      <c r="B43" s="1">
        <v>7.8743999999999996</v>
      </c>
      <c r="D43" s="1">
        <v>831.26700000000005</v>
      </c>
      <c r="E43" s="1">
        <v>14.7956</v>
      </c>
    </row>
    <row r="44" spans="1:5" x14ac:dyDescent="0.25">
      <c r="A44" s="1">
        <v>640.34900000000005</v>
      </c>
      <c r="B44" s="1">
        <v>7.7267000000000001</v>
      </c>
      <c r="D44" s="1">
        <v>831.70399999999995</v>
      </c>
      <c r="E44" s="1">
        <v>13.450100000000001</v>
      </c>
    </row>
    <row r="45" spans="1:5" x14ac:dyDescent="0.25">
      <c r="A45" s="1">
        <v>640.78599999999994</v>
      </c>
      <c r="B45" s="1">
        <v>7.7022000000000004</v>
      </c>
      <c r="D45" s="1">
        <v>832.14099999999996</v>
      </c>
      <c r="E45" s="1">
        <v>13.464600000000001</v>
      </c>
    </row>
    <row r="46" spans="1:5" x14ac:dyDescent="0.25">
      <c r="A46" s="1">
        <v>641.22299999999996</v>
      </c>
      <c r="B46" s="1">
        <v>7.7026000000000003</v>
      </c>
      <c r="D46" s="1">
        <v>832.57799999999997</v>
      </c>
      <c r="E46" s="1">
        <v>13.394500000000001</v>
      </c>
    </row>
    <row r="47" spans="1:5" x14ac:dyDescent="0.25">
      <c r="A47" s="1">
        <v>641.66</v>
      </c>
      <c r="B47" s="1">
        <v>7.7001999999999997</v>
      </c>
      <c r="D47" s="1">
        <v>833.01499999999999</v>
      </c>
      <c r="E47" s="1">
        <v>13.543799999999999</v>
      </c>
    </row>
    <row r="48" spans="1:5" x14ac:dyDescent="0.25">
      <c r="A48" s="1">
        <v>642.09699999999998</v>
      </c>
      <c r="B48" s="1">
        <v>7.6661000000000001</v>
      </c>
      <c r="D48" s="1">
        <v>833.452</v>
      </c>
      <c r="E48" s="1">
        <v>13.491099999999999</v>
      </c>
    </row>
    <row r="49" spans="1:5" x14ac:dyDescent="0.25">
      <c r="A49" s="1">
        <v>642.53399999999999</v>
      </c>
      <c r="B49" s="1">
        <v>7.7706999999999997</v>
      </c>
      <c r="D49" s="1">
        <v>833.88900000000001</v>
      </c>
      <c r="E49" s="1">
        <v>13.580299999999999</v>
      </c>
    </row>
    <row r="50" spans="1:5" x14ac:dyDescent="0.25">
      <c r="A50" s="1">
        <v>642.971</v>
      </c>
      <c r="B50" s="1">
        <v>7.6603000000000003</v>
      </c>
      <c r="D50" s="1">
        <v>834.32600000000002</v>
      </c>
      <c r="E50" s="1">
        <v>13.527200000000001</v>
      </c>
    </row>
    <row r="51" spans="1:5" x14ac:dyDescent="0.25">
      <c r="A51" s="1">
        <v>643.40800000000002</v>
      </c>
      <c r="B51" s="1">
        <v>7.6218000000000004</v>
      </c>
      <c r="D51" s="1">
        <v>834.76300000000003</v>
      </c>
      <c r="E51" s="1">
        <v>13.6454</v>
      </c>
    </row>
    <row r="52" spans="1:5" x14ac:dyDescent="0.25">
      <c r="A52" s="1">
        <v>643.84500000000003</v>
      </c>
      <c r="B52" s="1">
        <v>7.6798000000000002</v>
      </c>
      <c r="D52" s="1">
        <v>835.19899999999996</v>
      </c>
      <c r="E52" s="1">
        <v>13.599</v>
      </c>
    </row>
    <row r="53" spans="1:5" x14ac:dyDescent="0.25">
      <c r="A53" s="1">
        <v>644.28200000000004</v>
      </c>
      <c r="B53" s="1">
        <v>7.7241999999999997</v>
      </c>
      <c r="D53" s="1">
        <v>835.63599999999997</v>
      </c>
      <c r="E53" s="1">
        <v>13.420199999999999</v>
      </c>
    </row>
    <row r="54" spans="1:5" x14ac:dyDescent="0.25">
      <c r="A54" s="1">
        <v>644.71900000000005</v>
      </c>
      <c r="B54" s="1">
        <v>7.6391999999999998</v>
      </c>
      <c r="D54" s="1">
        <v>836.07299999999998</v>
      </c>
      <c r="E54" s="1">
        <v>13.4613</v>
      </c>
    </row>
    <row r="55" spans="1:5" x14ac:dyDescent="0.25">
      <c r="A55" s="1">
        <v>645.15599999999995</v>
      </c>
      <c r="B55" s="1">
        <v>7.7076000000000002</v>
      </c>
      <c r="D55" s="1">
        <v>836.51</v>
      </c>
      <c r="E55" s="1">
        <v>13.4779</v>
      </c>
    </row>
    <row r="56" spans="1:5" x14ac:dyDescent="0.25">
      <c r="A56" s="1">
        <v>645.59299999999996</v>
      </c>
      <c r="B56" s="1">
        <v>7.6740000000000004</v>
      </c>
      <c r="D56" s="1">
        <v>836.947</v>
      </c>
      <c r="E56" s="1">
        <v>13.532999999999999</v>
      </c>
    </row>
    <row r="57" spans="1:5" x14ac:dyDescent="0.25">
      <c r="A57" s="1">
        <v>646.03</v>
      </c>
      <c r="B57" s="1">
        <v>7.6595000000000004</v>
      </c>
      <c r="D57" s="1">
        <v>837.38400000000001</v>
      </c>
      <c r="E57" s="1">
        <v>13.5198</v>
      </c>
    </row>
    <row r="58" spans="1:5" x14ac:dyDescent="0.25">
      <c r="A58" s="1">
        <v>646.46699999999998</v>
      </c>
      <c r="B58" s="1">
        <v>7.7076000000000002</v>
      </c>
      <c r="D58" s="1">
        <v>837.82100000000003</v>
      </c>
      <c r="E58" s="1">
        <v>13.460900000000001</v>
      </c>
    </row>
    <row r="59" spans="1:5" x14ac:dyDescent="0.25">
      <c r="A59" s="1">
        <v>646.904</v>
      </c>
      <c r="B59" s="1">
        <v>7.7404000000000002</v>
      </c>
      <c r="D59" s="1">
        <v>838.25699999999995</v>
      </c>
      <c r="E59" s="1">
        <v>13.5845</v>
      </c>
    </row>
    <row r="60" spans="1:5" x14ac:dyDescent="0.25">
      <c r="A60" s="1">
        <v>647.34100000000001</v>
      </c>
      <c r="B60" s="1">
        <v>7.7736000000000001</v>
      </c>
      <c r="D60" s="1">
        <v>838.69399999999996</v>
      </c>
      <c r="E60" s="1">
        <v>13.645799999999999</v>
      </c>
    </row>
    <row r="61" spans="1:5" x14ac:dyDescent="0.25">
      <c r="A61" s="1">
        <v>647.77800000000002</v>
      </c>
      <c r="B61" s="1">
        <v>7.7382999999999997</v>
      </c>
      <c r="D61" s="1">
        <v>839.13099999999997</v>
      </c>
      <c r="E61" s="1">
        <v>13.4953</v>
      </c>
    </row>
    <row r="62" spans="1:5" x14ac:dyDescent="0.25">
      <c r="A62" s="1">
        <v>648.21500000000003</v>
      </c>
      <c r="B62" s="1">
        <v>7.8681000000000001</v>
      </c>
      <c r="D62" s="1">
        <v>839.56799999999998</v>
      </c>
      <c r="E62" s="1">
        <v>13.6591</v>
      </c>
    </row>
    <row r="63" spans="1:5" x14ac:dyDescent="0.25">
      <c r="A63" s="1">
        <v>648.65200000000004</v>
      </c>
      <c r="B63" s="1">
        <v>7.8071999999999999</v>
      </c>
      <c r="D63" s="1">
        <v>840.005</v>
      </c>
      <c r="E63" s="1">
        <v>13.567</v>
      </c>
    </row>
    <row r="64" spans="1:5" x14ac:dyDescent="0.25">
      <c r="A64" s="1">
        <v>649.08900000000006</v>
      </c>
      <c r="B64" s="1">
        <v>7.8209</v>
      </c>
      <c r="D64" s="1">
        <v>840.44200000000001</v>
      </c>
      <c r="E64" s="1">
        <v>13.6205</v>
      </c>
    </row>
    <row r="65" spans="1:5" x14ac:dyDescent="0.25">
      <c r="A65" s="1">
        <v>649.52599999999995</v>
      </c>
      <c r="B65" s="1">
        <v>7.8308</v>
      </c>
      <c r="D65" s="1">
        <v>840.87900000000002</v>
      </c>
      <c r="E65" s="1">
        <v>13.576599999999999</v>
      </c>
    </row>
    <row r="66" spans="1:5" x14ac:dyDescent="0.25">
      <c r="A66" s="1">
        <v>649.96299999999997</v>
      </c>
      <c r="B66" s="1">
        <v>7.8846999999999996</v>
      </c>
      <c r="D66" s="1">
        <v>841.31600000000003</v>
      </c>
      <c r="E66" s="1">
        <v>13.696</v>
      </c>
    </row>
    <row r="67" spans="1:5" x14ac:dyDescent="0.25">
      <c r="A67" s="1">
        <v>650.399</v>
      </c>
      <c r="B67" s="1">
        <v>7.8498999999999999</v>
      </c>
      <c r="D67" s="1">
        <v>841.75199999999995</v>
      </c>
      <c r="E67" s="1">
        <v>13.593999999999999</v>
      </c>
    </row>
    <row r="68" spans="1:5" x14ac:dyDescent="0.25">
      <c r="A68" s="1">
        <v>650.83600000000001</v>
      </c>
      <c r="B68" s="1">
        <v>7.8697999999999997</v>
      </c>
      <c r="D68" s="1">
        <v>842.18899999999996</v>
      </c>
      <c r="E68" s="1">
        <v>13.542999999999999</v>
      </c>
    </row>
    <row r="69" spans="1:5" x14ac:dyDescent="0.25">
      <c r="A69" s="1">
        <v>651.27300000000002</v>
      </c>
      <c r="B69" s="1">
        <v>7.8597999999999999</v>
      </c>
      <c r="D69" s="1">
        <v>842.62599999999998</v>
      </c>
      <c r="E69" s="1">
        <v>13.6073</v>
      </c>
    </row>
    <row r="70" spans="1:5" x14ac:dyDescent="0.25">
      <c r="A70" s="1">
        <v>651.71</v>
      </c>
      <c r="B70" s="1">
        <v>7.8655999999999997</v>
      </c>
      <c r="D70" s="1">
        <v>843.06299999999999</v>
      </c>
      <c r="E70" s="1">
        <v>13.601900000000001</v>
      </c>
    </row>
    <row r="71" spans="1:5" x14ac:dyDescent="0.25">
      <c r="A71" s="1">
        <v>652.14700000000005</v>
      </c>
      <c r="B71" s="1">
        <v>7.8685999999999998</v>
      </c>
      <c r="D71" s="1">
        <v>843.5</v>
      </c>
      <c r="E71" s="1">
        <v>13.508599999999999</v>
      </c>
    </row>
    <row r="72" spans="1:5" x14ac:dyDescent="0.25">
      <c r="A72" s="1"/>
      <c r="B72" s="1">
        <f>AVERAGE(B39:B71)</f>
        <v>7.8214939393939398</v>
      </c>
      <c r="D72" s="1"/>
      <c r="E72" s="1">
        <f>AVERAGE(E43:E71)</f>
        <v>13.588424137931035</v>
      </c>
    </row>
    <row r="73" spans="1:5" x14ac:dyDescent="0.25">
      <c r="A73" t="s">
        <v>4</v>
      </c>
      <c r="B73">
        <f>B33-Table1[[#Totals],[weight_g]]</f>
        <v>9.5358560606060614</v>
      </c>
      <c r="D73" t="s">
        <v>4</v>
      </c>
      <c r="E73">
        <f>E40-Table2[[#Totals],[weight_g]]</f>
        <v>35.365763362068961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pmuo8837 / KOCH Fabian Lukas / Fabian Lukas KOCH</cp:lastModifiedBy>
  <dcterms:created xsi:type="dcterms:W3CDTF">2015-06-05T18:17:20Z</dcterms:created>
  <dcterms:modified xsi:type="dcterms:W3CDTF">2026-06-11T07:26:04Z</dcterms:modified>
</cp:coreProperties>
</file>