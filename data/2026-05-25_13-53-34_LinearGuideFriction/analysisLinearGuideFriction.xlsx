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data/2026-05-25_13-53-34_LInearGuideFriction/"/>
    </mc:Choice>
  </mc:AlternateContent>
  <xr:revisionPtr revIDLastSave="17" documentId="11_F25DC773A252ABDACC10488D295E6C425BDE58E5" xr6:coauthVersionLast="47" xr6:coauthVersionMax="47" xr10:uidLastSave="{441AEDA1-C8A9-4099-83E1-F14235F5B15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9" i="1" l="1"/>
  <c r="O49" i="1"/>
</calcChain>
</file>

<file path=xl/sharedStrings.xml><?xml version="1.0" encoding="utf-8"?>
<sst xmlns="http://schemas.openxmlformats.org/spreadsheetml/2006/main" count="17" uniqueCount="6">
  <si>
    <t>time_s</t>
  </si>
  <si>
    <t>weight_g</t>
  </si>
  <si>
    <t>with linear guide</t>
  </si>
  <si>
    <t>remove outliers</t>
  </si>
  <si>
    <t>std</t>
  </si>
  <si>
    <t>without linear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</si>
</sst>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 linear guide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Sheet1!$A$3:$A$48</c:f>
              <c:numCache>
                <c:formatCode>General</c:formatCode>
                <c:ptCount val="46"/>
                <c:pt idx="0">
                  <c:v>546.16800000000001</c:v>
                </c:pt>
                <c:pt idx="1">
                  <c:v>546.60500000000002</c:v>
                </c:pt>
                <c:pt idx="2">
                  <c:v>547.04300000000001</c:v>
                </c:pt>
                <c:pt idx="3">
                  <c:v>547.48</c:v>
                </c:pt>
                <c:pt idx="4">
                  <c:v>547.91800000000001</c:v>
                </c:pt>
                <c:pt idx="5">
                  <c:v>548.35500000000002</c:v>
                </c:pt>
                <c:pt idx="6">
                  <c:v>548.79200000000003</c:v>
                </c:pt>
                <c:pt idx="7">
                  <c:v>549.23</c:v>
                </c:pt>
                <c:pt idx="8">
                  <c:v>549.66700000000003</c:v>
                </c:pt>
                <c:pt idx="9">
                  <c:v>550.10500000000002</c:v>
                </c:pt>
                <c:pt idx="10">
                  <c:v>550.54200000000003</c:v>
                </c:pt>
                <c:pt idx="11">
                  <c:v>550.98</c:v>
                </c:pt>
                <c:pt idx="12">
                  <c:v>551.41700000000003</c:v>
                </c:pt>
                <c:pt idx="13">
                  <c:v>551.85400000000004</c:v>
                </c:pt>
                <c:pt idx="14">
                  <c:v>552.29200000000003</c:v>
                </c:pt>
                <c:pt idx="15">
                  <c:v>552.72900000000004</c:v>
                </c:pt>
                <c:pt idx="16">
                  <c:v>553.16700000000003</c:v>
                </c:pt>
                <c:pt idx="17">
                  <c:v>553.60400000000004</c:v>
                </c:pt>
                <c:pt idx="18">
                  <c:v>554.04100000000005</c:v>
                </c:pt>
                <c:pt idx="19">
                  <c:v>554.47900000000004</c:v>
                </c:pt>
                <c:pt idx="20">
                  <c:v>554.91600000000005</c:v>
                </c:pt>
                <c:pt idx="21">
                  <c:v>555.35400000000004</c:v>
                </c:pt>
                <c:pt idx="22">
                  <c:v>555.79100000000005</c:v>
                </c:pt>
                <c:pt idx="23">
                  <c:v>556.22799999999995</c:v>
                </c:pt>
                <c:pt idx="24">
                  <c:v>556.66600000000005</c:v>
                </c:pt>
                <c:pt idx="25">
                  <c:v>557.10299999999995</c:v>
                </c:pt>
                <c:pt idx="26">
                  <c:v>557.54100000000005</c:v>
                </c:pt>
                <c:pt idx="27">
                  <c:v>557.97799999999995</c:v>
                </c:pt>
                <c:pt idx="28">
                  <c:v>558.41499999999996</c:v>
                </c:pt>
                <c:pt idx="29">
                  <c:v>558.85299999999995</c:v>
                </c:pt>
                <c:pt idx="30">
                  <c:v>559.29</c:v>
                </c:pt>
                <c:pt idx="31">
                  <c:v>559.72799999999995</c:v>
                </c:pt>
                <c:pt idx="32">
                  <c:v>560.16499999999996</c:v>
                </c:pt>
                <c:pt idx="33">
                  <c:v>560.60199999999998</c:v>
                </c:pt>
                <c:pt idx="34">
                  <c:v>561.04</c:v>
                </c:pt>
                <c:pt idx="35">
                  <c:v>561.47699999999998</c:v>
                </c:pt>
                <c:pt idx="36">
                  <c:v>561.91499999999996</c:v>
                </c:pt>
                <c:pt idx="37">
                  <c:v>562.35199999999998</c:v>
                </c:pt>
                <c:pt idx="38">
                  <c:v>562.78899999999999</c:v>
                </c:pt>
                <c:pt idx="39">
                  <c:v>563.22699999999998</c:v>
                </c:pt>
                <c:pt idx="40">
                  <c:v>563.66399999999999</c:v>
                </c:pt>
                <c:pt idx="41">
                  <c:v>564.10199999999998</c:v>
                </c:pt>
                <c:pt idx="42">
                  <c:v>564.53899999999999</c:v>
                </c:pt>
                <c:pt idx="43">
                  <c:v>564.976</c:v>
                </c:pt>
                <c:pt idx="44">
                  <c:v>565.41399999999999</c:v>
                </c:pt>
                <c:pt idx="45">
                  <c:v>565.851</c:v>
                </c:pt>
              </c:numCache>
            </c:numRef>
          </c:xVal>
          <c:yVal>
            <c:numRef>
              <c:f>Sheet1!$B$3:$B$48</c:f>
              <c:numCache>
                <c:formatCode>General</c:formatCode>
                <c:ptCount val="46"/>
                <c:pt idx="0">
                  <c:v>-2.6650999999999998</c:v>
                </c:pt>
                <c:pt idx="1">
                  <c:v>-2.633</c:v>
                </c:pt>
                <c:pt idx="2">
                  <c:v>-2.6034999999999999</c:v>
                </c:pt>
                <c:pt idx="3">
                  <c:v>-2.6335000000000002</c:v>
                </c:pt>
                <c:pt idx="4">
                  <c:v>-2.6194999999999999</c:v>
                </c:pt>
                <c:pt idx="5">
                  <c:v>-2.6223999999999998</c:v>
                </c:pt>
                <c:pt idx="6">
                  <c:v>-2.5939999999999999</c:v>
                </c:pt>
                <c:pt idx="7">
                  <c:v>-2.6301999999999999</c:v>
                </c:pt>
                <c:pt idx="8">
                  <c:v>-2.6109</c:v>
                </c:pt>
                <c:pt idx="9">
                  <c:v>-2.6778</c:v>
                </c:pt>
                <c:pt idx="10">
                  <c:v>-2.6606000000000001</c:v>
                </c:pt>
                <c:pt idx="11">
                  <c:v>-2.6602000000000001</c:v>
                </c:pt>
                <c:pt idx="12">
                  <c:v>-2.7029000000000001</c:v>
                </c:pt>
                <c:pt idx="13">
                  <c:v>-2.0387</c:v>
                </c:pt>
                <c:pt idx="14">
                  <c:v>29.801300000000001</c:v>
                </c:pt>
                <c:pt idx="15">
                  <c:v>129.09469999999999</c:v>
                </c:pt>
                <c:pt idx="16">
                  <c:v>-2.7702</c:v>
                </c:pt>
                <c:pt idx="17">
                  <c:v>-2.5623999999999998</c:v>
                </c:pt>
                <c:pt idx="18">
                  <c:v>-2.5234000000000001</c:v>
                </c:pt>
                <c:pt idx="19">
                  <c:v>-2.6202999999999999</c:v>
                </c:pt>
                <c:pt idx="20">
                  <c:v>-2.6255999999999999</c:v>
                </c:pt>
                <c:pt idx="21">
                  <c:v>-2.6055000000000001</c:v>
                </c:pt>
                <c:pt idx="22">
                  <c:v>-2.5093999999999999</c:v>
                </c:pt>
                <c:pt idx="23">
                  <c:v>-2.5139</c:v>
                </c:pt>
                <c:pt idx="24">
                  <c:v>-2.6396000000000002</c:v>
                </c:pt>
                <c:pt idx="25">
                  <c:v>-51.849699999999999</c:v>
                </c:pt>
                <c:pt idx="26">
                  <c:v>-236.51429999999999</c:v>
                </c:pt>
                <c:pt idx="27">
                  <c:v>-88.007900000000006</c:v>
                </c:pt>
                <c:pt idx="28">
                  <c:v>-2.6802999999999999</c:v>
                </c:pt>
                <c:pt idx="29">
                  <c:v>-2.7290999999999999</c:v>
                </c:pt>
                <c:pt idx="30">
                  <c:v>-2.7233999999999998</c:v>
                </c:pt>
                <c:pt idx="31">
                  <c:v>-2.7887</c:v>
                </c:pt>
                <c:pt idx="32">
                  <c:v>-2.7793000000000001</c:v>
                </c:pt>
                <c:pt idx="33">
                  <c:v>-2.7656999999999998</c:v>
                </c:pt>
                <c:pt idx="34">
                  <c:v>-2.7423000000000002</c:v>
                </c:pt>
                <c:pt idx="35">
                  <c:v>-2.7012</c:v>
                </c:pt>
                <c:pt idx="36">
                  <c:v>-2.8105000000000002</c:v>
                </c:pt>
                <c:pt idx="37">
                  <c:v>34.157299999999999</c:v>
                </c:pt>
                <c:pt idx="38">
                  <c:v>342.96870000000001</c:v>
                </c:pt>
                <c:pt idx="39">
                  <c:v>258.96600000000001</c:v>
                </c:pt>
                <c:pt idx="40">
                  <c:v>-2.1861999999999999</c:v>
                </c:pt>
                <c:pt idx="41">
                  <c:v>-2.2326000000000001</c:v>
                </c:pt>
                <c:pt idx="42">
                  <c:v>-2.2789999999999999</c:v>
                </c:pt>
                <c:pt idx="43">
                  <c:v>-2.2425000000000002</c:v>
                </c:pt>
                <c:pt idx="44">
                  <c:v>-2.2740999999999998</c:v>
                </c:pt>
                <c:pt idx="45">
                  <c:v>-4.3353999999999999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6-4AD3-9525-F1592E35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074176"/>
        <c:axId val="1287065536"/>
      </c:scatterChart>
      <c:valAx>
        <c:axId val="128707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65536"/>
        <c:crosses val="autoZero"/>
        <c:crossBetween val="midCat"/>
      </c:valAx>
      <c:valAx>
        <c:axId val="12870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7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linear guide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Sheet1!$D$3:$D$48</c:f>
              <c:numCache>
                <c:formatCode>General</c:formatCode>
                <c:ptCount val="46"/>
                <c:pt idx="0">
                  <c:v>167.499</c:v>
                </c:pt>
                <c:pt idx="1">
                  <c:v>167.93700000000001</c:v>
                </c:pt>
                <c:pt idx="2">
                  <c:v>168.374</c:v>
                </c:pt>
                <c:pt idx="3">
                  <c:v>168.81100000000001</c:v>
                </c:pt>
                <c:pt idx="4">
                  <c:v>169.24799999999999</c:v>
                </c:pt>
                <c:pt idx="5">
                  <c:v>169.685</c:v>
                </c:pt>
                <c:pt idx="6">
                  <c:v>170.12200000000001</c:v>
                </c:pt>
                <c:pt idx="7">
                  <c:v>170.56</c:v>
                </c:pt>
                <c:pt idx="8">
                  <c:v>170.99700000000001</c:v>
                </c:pt>
                <c:pt idx="9">
                  <c:v>171.434</c:v>
                </c:pt>
                <c:pt idx="10">
                  <c:v>171.87100000000001</c:v>
                </c:pt>
                <c:pt idx="11">
                  <c:v>172.309</c:v>
                </c:pt>
                <c:pt idx="12">
                  <c:v>172.74600000000001</c:v>
                </c:pt>
                <c:pt idx="13">
                  <c:v>173.18299999999999</c:v>
                </c:pt>
                <c:pt idx="14">
                  <c:v>173.62</c:v>
                </c:pt>
                <c:pt idx="15">
                  <c:v>174.05699999999999</c:v>
                </c:pt>
                <c:pt idx="16">
                  <c:v>174.495</c:v>
                </c:pt>
                <c:pt idx="17">
                  <c:v>174.93199999999999</c:v>
                </c:pt>
                <c:pt idx="18">
                  <c:v>175.369</c:v>
                </c:pt>
                <c:pt idx="19">
                  <c:v>175.80600000000001</c:v>
                </c:pt>
                <c:pt idx="20">
                  <c:v>176.244</c:v>
                </c:pt>
                <c:pt idx="21">
                  <c:v>176.68100000000001</c:v>
                </c:pt>
                <c:pt idx="22">
                  <c:v>177.11799999999999</c:v>
                </c:pt>
                <c:pt idx="23">
                  <c:v>177.55500000000001</c:v>
                </c:pt>
                <c:pt idx="24">
                  <c:v>177.99199999999999</c:v>
                </c:pt>
                <c:pt idx="25">
                  <c:v>178.43</c:v>
                </c:pt>
                <c:pt idx="26">
                  <c:v>178.86699999999999</c:v>
                </c:pt>
                <c:pt idx="27">
                  <c:v>179.304</c:v>
                </c:pt>
                <c:pt idx="28">
                  <c:v>179.74100000000001</c:v>
                </c:pt>
                <c:pt idx="29">
                  <c:v>180.179</c:v>
                </c:pt>
                <c:pt idx="30">
                  <c:v>180.61600000000001</c:v>
                </c:pt>
                <c:pt idx="31">
                  <c:v>181.053</c:v>
                </c:pt>
                <c:pt idx="32">
                  <c:v>181.49</c:v>
                </c:pt>
                <c:pt idx="33">
                  <c:v>181.92699999999999</c:v>
                </c:pt>
                <c:pt idx="34">
                  <c:v>182.36500000000001</c:v>
                </c:pt>
                <c:pt idx="35">
                  <c:v>182.80199999999999</c:v>
                </c:pt>
                <c:pt idx="36">
                  <c:v>183.239</c:v>
                </c:pt>
                <c:pt idx="37">
                  <c:v>183.67599999999999</c:v>
                </c:pt>
                <c:pt idx="38">
                  <c:v>184.114</c:v>
                </c:pt>
                <c:pt idx="39">
                  <c:v>184.55099999999999</c:v>
                </c:pt>
                <c:pt idx="40">
                  <c:v>184.988</c:v>
                </c:pt>
                <c:pt idx="41">
                  <c:v>185.42500000000001</c:v>
                </c:pt>
                <c:pt idx="42">
                  <c:v>185.86199999999999</c:v>
                </c:pt>
                <c:pt idx="43">
                  <c:v>186.3</c:v>
                </c:pt>
                <c:pt idx="44">
                  <c:v>186.73699999999999</c:v>
                </c:pt>
                <c:pt idx="45">
                  <c:v>187.17400000000001</c:v>
                </c:pt>
              </c:numCache>
            </c:numRef>
          </c:xVal>
          <c:yVal>
            <c:numRef>
              <c:f>Sheet1!$E$3:$E$48</c:f>
              <c:numCache>
                <c:formatCode>General</c:formatCode>
                <c:ptCount val="46"/>
                <c:pt idx="0">
                  <c:v>4.7285000000000004</c:v>
                </c:pt>
                <c:pt idx="1">
                  <c:v>4.8417000000000003</c:v>
                </c:pt>
                <c:pt idx="2">
                  <c:v>4.8010000000000002</c:v>
                </c:pt>
                <c:pt idx="3">
                  <c:v>4.82</c:v>
                </c:pt>
                <c:pt idx="4">
                  <c:v>4.6087999999999996</c:v>
                </c:pt>
                <c:pt idx="5">
                  <c:v>4.6558999999999999</c:v>
                </c:pt>
                <c:pt idx="6">
                  <c:v>4.8509000000000002</c:v>
                </c:pt>
                <c:pt idx="7">
                  <c:v>4.6753</c:v>
                </c:pt>
                <c:pt idx="8">
                  <c:v>4.7058</c:v>
                </c:pt>
                <c:pt idx="9">
                  <c:v>4.7062999999999997</c:v>
                </c:pt>
                <c:pt idx="10">
                  <c:v>4.7908999999999997</c:v>
                </c:pt>
                <c:pt idx="11">
                  <c:v>4.8925000000000001</c:v>
                </c:pt>
                <c:pt idx="12">
                  <c:v>4.7122999999999999</c:v>
                </c:pt>
                <c:pt idx="13">
                  <c:v>14.6983</c:v>
                </c:pt>
                <c:pt idx="14">
                  <c:v>39.993400000000001</c:v>
                </c:pt>
                <c:pt idx="15">
                  <c:v>5.9085000000000001</c:v>
                </c:pt>
                <c:pt idx="16">
                  <c:v>5.6433</c:v>
                </c:pt>
                <c:pt idx="17">
                  <c:v>5.4992000000000001</c:v>
                </c:pt>
                <c:pt idx="18">
                  <c:v>5.3258999999999999</c:v>
                </c:pt>
                <c:pt idx="19">
                  <c:v>5.4505999999999997</c:v>
                </c:pt>
                <c:pt idx="20">
                  <c:v>5.5217999999999998</c:v>
                </c:pt>
                <c:pt idx="21">
                  <c:v>-84.060599999999994</c:v>
                </c:pt>
                <c:pt idx="22">
                  <c:v>-15.4694</c:v>
                </c:pt>
                <c:pt idx="23">
                  <c:v>-9.3696000000000002</c:v>
                </c:pt>
                <c:pt idx="24">
                  <c:v>-9.1205999999999996</c:v>
                </c:pt>
                <c:pt idx="25">
                  <c:v>-9.0480999999999998</c:v>
                </c:pt>
                <c:pt idx="26">
                  <c:v>-8.9741</c:v>
                </c:pt>
                <c:pt idx="27">
                  <c:v>4.1601999999999997</c:v>
                </c:pt>
                <c:pt idx="28">
                  <c:v>27.6265</c:v>
                </c:pt>
                <c:pt idx="29">
                  <c:v>4.9298999999999999</c:v>
                </c:pt>
                <c:pt idx="30">
                  <c:v>4.6692999999999998</c:v>
                </c:pt>
                <c:pt idx="31">
                  <c:v>4.6402000000000001</c:v>
                </c:pt>
                <c:pt idx="32">
                  <c:v>4.6028000000000002</c:v>
                </c:pt>
                <c:pt idx="33">
                  <c:v>4.6111000000000004</c:v>
                </c:pt>
                <c:pt idx="34">
                  <c:v>4.6304999999999996</c:v>
                </c:pt>
                <c:pt idx="35">
                  <c:v>-21.007400000000001</c:v>
                </c:pt>
                <c:pt idx="36">
                  <c:v>-14.7805</c:v>
                </c:pt>
                <c:pt idx="37">
                  <c:v>-8.6654999999999998</c:v>
                </c:pt>
                <c:pt idx="38">
                  <c:v>-8.4298999999999999</c:v>
                </c:pt>
                <c:pt idx="39">
                  <c:v>-8.2302999999999997</c:v>
                </c:pt>
                <c:pt idx="40">
                  <c:v>7.4798999999999998</c:v>
                </c:pt>
                <c:pt idx="41">
                  <c:v>26.696899999999999</c:v>
                </c:pt>
                <c:pt idx="42">
                  <c:v>5.2634999999999996</c:v>
                </c:pt>
                <c:pt idx="43">
                  <c:v>5.1143000000000001</c:v>
                </c:pt>
                <c:pt idx="44">
                  <c:v>5.0270000000000001</c:v>
                </c:pt>
                <c:pt idx="45">
                  <c:v>5.0888999999999998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4B-4F4A-8E31-64482C3F1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072256"/>
        <c:axId val="1287074176"/>
      </c:scatterChart>
      <c:valAx>
        <c:axId val="128707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74176"/>
        <c:crosses val="autoZero"/>
        <c:crossBetween val="midCat"/>
      </c:valAx>
      <c:valAx>
        <c:axId val="12870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without</a:t>
            </a:r>
            <a:r>
              <a:rPr lang="en-US" baseline="0"/>
              <a:t> linear guide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weight_g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Sheet1!$N$3:$N$48</c:f>
              <c:numCache>
                <c:formatCode>General</c:formatCode>
                <c:ptCount val="46"/>
                <c:pt idx="0">
                  <c:v>546.16800000000001</c:v>
                </c:pt>
                <c:pt idx="1">
                  <c:v>546.60500000000002</c:v>
                </c:pt>
                <c:pt idx="2">
                  <c:v>547.04300000000001</c:v>
                </c:pt>
                <c:pt idx="3">
                  <c:v>547.48</c:v>
                </c:pt>
                <c:pt idx="4">
                  <c:v>547.91800000000001</c:v>
                </c:pt>
                <c:pt idx="5">
                  <c:v>548.35500000000002</c:v>
                </c:pt>
                <c:pt idx="6">
                  <c:v>548.79200000000003</c:v>
                </c:pt>
                <c:pt idx="7">
                  <c:v>549.23</c:v>
                </c:pt>
                <c:pt idx="8">
                  <c:v>549.66700000000003</c:v>
                </c:pt>
                <c:pt idx="9">
                  <c:v>550.10500000000002</c:v>
                </c:pt>
                <c:pt idx="10">
                  <c:v>550.54200000000003</c:v>
                </c:pt>
                <c:pt idx="11">
                  <c:v>550.98</c:v>
                </c:pt>
                <c:pt idx="12">
                  <c:v>551.41700000000003</c:v>
                </c:pt>
                <c:pt idx="16">
                  <c:v>553.16700000000003</c:v>
                </c:pt>
                <c:pt idx="17">
                  <c:v>553.60400000000004</c:v>
                </c:pt>
                <c:pt idx="18">
                  <c:v>554.04100000000005</c:v>
                </c:pt>
                <c:pt idx="19">
                  <c:v>554.47900000000004</c:v>
                </c:pt>
                <c:pt idx="20">
                  <c:v>554.91600000000005</c:v>
                </c:pt>
                <c:pt idx="21">
                  <c:v>555.35400000000004</c:v>
                </c:pt>
                <c:pt idx="22">
                  <c:v>555.79100000000005</c:v>
                </c:pt>
                <c:pt idx="23">
                  <c:v>556.22799999999995</c:v>
                </c:pt>
                <c:pt idx="24">
                  <c:v>556.66600000000005</c:v>
                </c:pt>
                <c:pt idx="28">
                  <c:v>558.41499999999996</c:v>
                </c:pt>
                <c:pt idx="29">
                  <c:v>558.85299999999995</c:v>
                </c:pt>
                <c:pt idx="30">
                  <c:v>559.29</c:v>
                </c:pt>
                <c:pt idx="31">
                  <c:v>559.72799999999995</c:v>
                </c:pt>
                <c:pt idx="32">
                  <c:v>560.16499999999996</c:v>
                </c:pt>
                <c:pt idx="33">
                  <c:v>560.60199999999998</c:v>
                </c:pt>
                <c:pt idx="34">
                  <c:v>561.04</c:v>
                </c:pt>
                <c:pt idx="35">
                  <c:v>561.47699999999998</c:v>
                </c:pt>
                <c:pt idx="36">
                  <c:v>561.91499999999996</c:v>
                </c:pt>
                <c:pt idx="40">
                  <c:v>563.66399999999999</c:v>
                </c:pt>
                <c:pt idx="41">
                  <c:v>564.10199999999998</c:v>
                </c:pt>
                <c:pt idx="42">
                  <c:v>564.53899999999999</c:v>
                </c:pt>
                <c:pt idx="43">
                  <c:v>564.976</c:v>
                </c:pt>
                <c:pt idx="44">
                  <c:v>565.41399999999999</c:v>
                </c:pt>
              </c:numCache>
            </c:numRef>
          </c:xVal>
          <c:yVal>
            <c:numRef>
              <c:f>Sheet1!$O$3:$O$48</c:f>
              <c:numCache>
                <c:formatCode>General</c:formatCode>
                <c:ptCount val="46"/>
                <c:pt idx="0">
                  <c:v>-2.6650999999999998</c:v>
                </c:pt>
                <c:pt idx="1">
                  <c:v>-2.633</c:v>
                </c:pt>
                <c:pt idx="2">
                  <c:v>-2.6034999999999999</c:v>
                </c:pt>
                <c:pt idx="3">
                  <c:v>-2.6335000000000002</c:v>
                </c:pt>
                <c:pt idx="4">
                  <c:v>-2.6194999999999999</c:v>
                </c:pt>
                <c:pt idx="5">
                  <c:v>-2.6223999999999998</c:v>
                </c:pt>
                <c:pt idx="6">
                  <c:v>-2.5939999999999999</c:v>
                </c:pt>
                <c:pt idx="7">
                  <c:v>-2.6301999999999999</c:v>
                </c:pt>
                <c:pt idx="8">
                  <c:v>-2.6109</c:v>
                </c:pt>
                <c:pt idx="9">
                  <c:v>-2.6778</c:v>
                </c:pt>
                <c:pt idx="10">
                  <c:v>-2.6606000000000001</c:v>
                </c:pt>
                <c:pt idx="11">
                  <c:v>-2.6602000000000001</c:v>
                </c:pt>
                <c:pt idx="12">
                  <c:v>-2.7029000000000001</c:v>
                </c:pt>
                <c:pt idx="16">
                  <c:v>-2.7702</c:v>
                </c:pt>
                <c:pt idx="17">
                  <c:v>-2.5623999999999998</c:v>
                </c:pt>
                <c:pt idx="18">
                  <c:v>-2.5234000000000001</c:v>
                </c:pt>
                <c:pt idx="19">
                  <c:v>-2.6202999999999999</c:v>
                </c:pt>
                <c:pt idx="20">
                  <c:v>-2.6255999999999999</c:v>
                </c:pt>
                <c:pt idx="21">
                  <c:v>-2.6055000000000001</c:v>
                </c:pt>
                <c:pt idx="22">
                  <c:v>-2.5093999999999999</c:v>
                </c:pt>
                <c:pt idx="23">
                  <c:v>-2.5139</c:v>
                </c:pt>
                <c:pt idx="24">
                  <c:v>-2.6396000000000002</c:v>
                </c:pt>
                <c:pt idx="28">
                  <c:v>-2.6802999999999999</c:v>
                </c:pt>
                <c:pt idx="29">
                  <c:v>-2.7290999999999999</c:v>
                </c:pt>
                <c:pt idx="30">
                  <c:v>-2.7233999999999998</c:v>
                </c:pt>
                <c:pt idx="31">
                  <c:v>-2.7887</c:v>
                </c:pt>
                <c:pt idx="32">
                  <c:v>-2.7793000000000001</c:v>
                </c:pt>
                <c:pt idx="33">
                  <c:v>-2.7656999999999998</c:v>
                </c:pt>
                <c:pt idx="34">
                  <c:v>-2.7423000000000002</c:v>
                </c:pt>
                <c:pt idx="35">
                  <c:v>-2.7012</c:v>
                </c:pt>
                <c:pt idx="36">
                  <c:v>-2.8105000000000002</c:v>
                </c:pt>
                <c:pt idx="40">
                  <c:v>-2.1861999999999999</c:v>
                </c:pt>
                <c:pt idx="41">
                  <c:v>-2.2326000000000001</c:v>
                </c:pt>
                <c:pt idx="42">
                  <c:v>-2.2789999999999999</c:v>
                </c:pt>
                <c:pt idx="43">
                  <c:v>-2.2425000000000002</c:v>
                </c:pt>
                <c:pt idx="44">
                  <c:v>-2.2740999999999998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18-42B6-9612-B352FB635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072400"/>
        <c:axId val="1367066640"/>
      </c:scatterChart>
      <c:valAx>
        <c:axId val="136707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66640"/>
        <c:crosses val="autoZero"/>
        <c:crossBetween val="midCat"/>
      </c:valAx>
      <c:valAx>
        <c:axId val="13670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weight [g]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7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with linear guide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weight_g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Sheet1!$Q$3:$Q$48</c:f>
              <c:numCache>
                <c:formatCode>General</c:formatCode>
                <c:ptCount val="46"/>
                <c:pt idx="0">
                  <c:v>167.499</c:v>
                </c:pt>
                <c:pt idx="1">
                  <c:v>167.93700000000001</c:v>
                </c:pt>
                <c:pt idx="2">
                  <c:v>168.374</c:v>
                </c:pt>
                <c:pt idx="3">
                  <c:v>168.81100000000001</c:v>
                </c:pt>
                <c:pt idx="4">
                  <c:v>169.24799999999999</c:v>
                </c:pt>
                <c:pt idx="5">
                  <c:v>169.685</c:v>
                </c:pt>
                <c:pt idx="6">
                  <c:v>170.12200000000001</c:v>
                </c:pt>
                <c:pt idx="7">
                  <c:v>170.56</c:v>
                </c:pt>
                <c:pt idx="8">
                  <c:v>170.99700000000001</c:v>
                </c:pt>
                <c:pt idx="9">
                  <c:v>171.434</c:v>
                </c:pt>
                <c:pt idx="10">
                  <c:v>171.87100000000001</c:v>
                </c:pt>
                <c:pt idx="11">
                  <c:v>172.309</c:v>
                </c:pt>
                <c:pt idx="12">
                  <c:v>172.74600000000001</c:v>
                </c:pt>
                <c:pt idx="15">
                  <c:v>174.05699999999999</c:v>
                </c:pt>
                <c:pt idx="16">
                  <c:v>174.495</c:v>
                </c:pt>
                <c:pt idx="17">
                  <c:v>174.93199999999999</c:v>
                </c:pt>
                <c:pt idx="18">
                  <c:v>175.369</c:v>
                </c:pt>
                <c:pt idx="19">
                  <c:v>175.80600000000001</c:v>
                </c:pt>
                <c:pt idx="20">
                  <c:v>176.244</c:v>
                </c:pt>
                <c:pt idx="23">
                  <c:v>177.55500000000001</c:v>
                </c:pt>
                <c:pt idx="24">
                  <c:v>177.99199999999999</c:v>
                </c:pt>
                <c:pt idx="25">
                  <c:v>178.43</c:v>
                </c:pt>
                <c:pt idx="26">
                  <c:v>178.86699999999999</c:v>
                </c:pt>
                <c:pt idx="29">
                  <c:v>180.179</c:v>
                </c:pt>
                <c:pt idx="30">
                  <c:v>180.61600000000001</c:v>
                </c:pt>
                <c:pt idx="31">
                  <c:v>181.053</c:v>
                </c:pt>
                <c:pt idx="32">
                  <c:v>181.49</c:v>
                </c:pt>
                <c:pt idx="33">
                  <c:v>181.92699999999999</c:v>
                </c:pt>
                <c:pt idx="34">
                  <c:v>182.36500000000001</c:v>
                </c:pt>
                <c:pt idx="37">
                  <c:v>183.67599999999999</c:v>
                </c:pt>
                <c:pt idx="38">
                  <c:v>184.114</c:v>
                </c:pt>
                <c:pt idx="39">
                  <c:v>184.55099999999999</c:v>
                </c:pt>
                <c:pt idx="42">
                  <c:v>185.86199999999999</c:v>
                </c:pt>
                <c:pt idx="43">
                  <c:v>186.3</c:v>
                </c:pt>
                <c:pt idx="44">
                  <c:v>186.73699999999999</c:v>
                </c:pt>
                <c:pt idx="45">
                  <c:v>187.17400000000001</c:v>
                </c:pt>
              </c:numCache>
            </c:numRef>
          </c:xVal>
          <c:yVal>
            <c:numRef>
              <c:f>Sheet1!$R$3:$R$48</c:f>
              <c:numCache>
                <c:formatCode>General</c:formatCode>
                <c:ptCount val="46"/>
                <c:pt idx="0">
                  <c:v>4.7285000000000004</c:v>
                </c:pt>
                <c:pt idx="1">
                  <c:v>4.8417000000000003</c:v>
                </c:pt>
                <c:pt idx="2">
                  <c:v>4.8010000000000002</c:v>
                </c:pt>
                <c:pt idx="3">
                  <c:v>4.82</c:v>
                </c:pt>
                <c:pt idx="4">
                  <c:v>4.6087999999999996</c:v>
                </c:pt>
                <c:pt idx="5">
                  <c:v>4.6558999999999999</c:v>
                </c:pt>
                <c:pt idx="6">
                  <c:v>4.8509000000000002</c:v>
                </c:pt>
                <c:pt idx="7">
                  <c:v>4.6753</c:v>
                </c:pt>
                <c:pt idx="8">
                  <c:v>4.7058</c:v>
                </c:pt>
                <c:pt idx="9">
                  <c:v>4.7062999999999997</c:v>
                </c:pt>
                <c:pt idx="10">
                  <c:v>4.7908999999999997</c:v>
                </c:pt>
                <c:pt idx="11">
                  <c:v>4.8925000000000001</c:v>
                </c:pt>
                <c:pt idx="12">
                  <c:v>4.7122999999999999</c:v>
                </c:pt>
                <c:pt idx="15">
                  <c:v>5.9085000000000001</c:v>
                </c:pt>
                <c:pt idx="16">
                  <c:v>5.6433</c:v>
                </c:pt>
                <c:pt idx="17">
                  <c:v>5.4992000000000001</c:v>
                </c:pt>
                <c:pt idx="18">
                  <c:v>5.3258999999999999</c:v>
                </c:pt>
                <c:pt idx="19">
                  <c:v>5.4505999999999997</c:v>
                </c:pt>
                <c:pt idx="20">
                  <c:v>5.5217999999999998</c:v>
                </c:pt>
                <c:pt idx="23">
                  <c:v>-9.3696000000000002</c:v>
                </c:pt>
                <c:pt idx="24">
                  <c:v>-9.1205999999999996</c:v>
                </c:pt>
                <c:pt idx="25">
                  <c:v>-9.0480999999999998</c:v>
                </c:pt>
                <c:pt idx="26">
                  <c:v>-8.9741</c:v>
                </c:pt>
                <c:pt idx="29">
                  <c:v>4.9298999999999999</c:v>
                </c:pt>
                <c:pt idx="30">
                  <c:v>4.6692999999999998</c:v>
                </c:pt>
                <c:pt idx="31">
                  <c:v>4.6402000000000001</c:v>
                </c:pt>
                <c:pt idx="32">
                  <c:v>4.6028000000000002</c:v>
                </c:pt>
                <c:pt idx="33">
                  <c:v>4.6111000000000004</c:v>
                </c:pt>
                <c:pt idx="34">
                  <c:v>4.6304999999999996</c:v>
                </c:pt>
                <c:pt idx="37">
                  <c:v>-8.6654999999999998</c:v>
                </c:pt>
                <c:pt idx="38">
                  <c:v>-8.4298999999999999</c:v>
                </c:pt>
                <c:pt idx="39">
                  <c:v>-8.2302999999999997</c:v>
                </c:pt>
                <c:pt idx="42">
                  <c:v>5.2634999999999996</c:v>
                </c:pt>
                <c:pt idx="43">
                  <c:v>5.1143000000000001</c:v>
                </c:pt>
                <c:pt idx="44">
                  <c:v>5.0270000000000001</c:v>
                </c:pt>
                <c:pt idx="45">
                  <c:v>5.0888999999999998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C-4D02-BE64-B75751C14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067600"/>
        <c:axId val="1367073840"/>
      </c:scatterChart>
      <c:valAx>
        <c:axId val="136706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73840"/>
        <c:crosses val="autoZero"/>
        <c:crossBetween val="midCat"/>
      </c:valAx>
      <c:valAx>
        <c:axId val="13670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 [g]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6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Sheet1!$T$3:$T$48</c:f>
              <c:numCache>
                <c:formatCode>General</c:formatCode>
                <c:ptCount val="46"/>
                <c:pt idx="0">
                  <c:v>259.31700000000001</c:v>
                </c:pt>
                <c:pt idx="1">
                  <c:v>259.75400000000002</c:v>
                </c:pt>
                <c:pt idx="2">
                  <c:v>260.19099999999997</c:v>
                </c:pt>
                <c:pt idx="3">
                  <c:v>260.62900000000002</c:v>
                </c:pt>
                <c:pt idx="4">
                  <c:v>261.06599999999997</c:v>
                </c:pt>
                <c:pt idx="5">
                  <c:v>261.50299999999999</c:v>
                </c:pt>
                <c:pt idx="6">
                  <c:v>261.94</c:v>
                </c:pt>
                <c:pt idx="7">
                  <c:v>262.37799999999999</c:v>
                </c:pt>
                <c:pt idx="8">
                  <c:v>262.815</c:v>
                </c:pt>
                <c:pt idx="9">
                  <c:v>263.25200000000001</c:v>
                </c:pt>
                <c:pt idx="10">
                  <c:v>263.68900000000002</c:v>
                </c:pt>
                <c:pt idx="12">
                  <c:v>264.56400000000002</c:v>
                </c:pt>
                <c:pt idx="13">
                  <c:v>265.00099999999998</c:v>
                </c:pt>
                <c:pt idx="14">
                  <c:v>265.43799999999999</c:v>
                </c:pt>
                <c:pt idx="16">
                  <c:v>266.31299999999999</c:v>
                </c:pt>
                <c:pt idx="17">
                  <c:v>266.75</c:v>
                </c:pt>
                <c:pt idx="18">
                  <c:v>267.18700000000001</c:v>
                </c:pt>
                <c:pt idx="19">
                  <c:v>267.62400000000002</c:v>
                </c:pt>
                <c:pt idx="21">
                  <c:v>268.49900000000002</c:v>
                </c:pt>
                <c:pt idx="22">
                  <c:v>268.93599999999998</c:v>
                </c:pt>
                <c:pt idx="23">
                  <c:v>269.37299999999999</c:v>
                </c:pt>
                <c:pt idx="25">
                  <c:v>270.24799999999999</c:v>
                </c:pt>
                <c:pt idx="26">
                  <c:v>270.685</c:v>
                </c:pt>
                <c:pt idx="29">
                  <c:v>271.99700000000001</c:v>
                </c:pt>
                <c:pt idx="30">
                  <c:v>272.43400000000003</c:v>
                </c:pt>
                <c:pt idx="33">
                  <c:v>273.745</c:v>
                </c:pt>
                <c:pt idx="34">
                  <c:v>274.18299999999999</c:v>
                </c:pt>
                <c:pt idx="35">
                  <c:v>274.62</c:v>
                </c:pt>
                <c:pt idx="36">
                  <c:v>275.05700000000002</c:v>
                </c:pt>
                <c:pt idx="37">
                  <c:v>275.49400000000003</c:v>
                </c:pt>
                <c:pt idx="40">
                  <c:v>276.80599999999998</c:v>
                </c:pt>
                <c:pt idx="41">
                  <c:v>277.24299999999999</c:v>
                </c:pt>
                <c:pt idx="44">
                  <c:v>278.55500000000001</c:v>
                </c:pt>
                <c:pt idx="45">
                  <c:v>278.99200000000002</c:v>
                </c:pt>
              </c:numCache>
            </c:numRef>
          </c:xVal>
          <c:yVal>
            <c:numRef>
              <c:f>Sheet1!$U$3:$U$48</c:f>
              <c:numCache>
                <c:formatCode>General</c:formatCode>
                <c:ptCount val="46"/>
                <c:pt idx="0">
                  <c:v>551.89070000000004</c:v>
                </c:pt>
                <c:pt idx="1">
                  <c:v>554.2328</c:v>
                </c:pt>
                <c:pt idx="2">
                  <c:v>553.22239999999999</c:v>
                </c:pt>
                <c:pt idx="3">
                  <c:v>551.29470000000003</c:v>
                </c:pt>
                <c:pt idx="4">
                  <c:v>552.80330000000004</c:v>
                </c:pt>
                <c:pt idx="5">
                  <c:v>552.73069999999996</c:v>
                </c:pt>
                <c:pt idx="6">
                  <c:v>551.23140000000001</c:v>
                </c:pt>
                <c:pt idx="7">
                  <c:v>552.11530000000005</c:v>
                </c:pt>
                <c:pt idx="8">
                  <c:v>553.07489999999996</c:v>
                </c:pt>
                <c:pt idx="9">
                  <c:v>551.45039999999995</c:v>
                </c:pt>
                <c:pt idx="10">
                  <c:v>550.90380000000005</c:v>
                </c:pt>
                <c:pt idx="12">
                  <c:v>568.96109999999999</c:v>
                </c:pt>
                <c:pt idx="13">
                  <c:v>559.04679999999996</c:v>
                </c:pt>
                <c:pt idx="14">
                  <c:v>554.62509999999997</c:v>
                </c:pt>
                <c:pt idx="16">
                  <c:v>534.75559999999996</c:v>
                </c:pt>
                <c:pt idx="17">
                  <c:v>537.32370000000003</c:v>
                </c:pt>
                <c:pt idx="18">
                  <c:v>540.74639999999999</c:v>
                </c:pt>
                <c:pt idx="19">
                  <c:v>539.78440000000001</c:v>
                </c:pt>
                <c:pt idx="21">
                  <c:v>563.01009999999997</c:v>
                </c:pt>
                <c:pt idx="22">
                  <c:v>560.95680000000004</c:v>
                </c:pt>
                <c:pt idx="23">
                  <c:v>528.0127</c:v>
                </c:pt>
                <c:pt idx="25">
                  <c:v>530.96879999999999</c:v>
                </c:pt>
                <c:pt idx="26">
                  <c:v>531.86739999999998</c:v>
                </c:pt>
                <c:pt idx="29">
                  <c:v>568.59429999999998</c:v>
                </c:pt>
                <c:pt idx="30">
                  <c:v>564.37490000000003</c:v>
                </c:pt>
                <c:pt idx="33">
                  <c:v>535.63490000000002</c:v>
                </c:pt>
                <c:pt idx="34">
                  <c:v>536.75120000000004</c:v>
                </c:pt>
                <c:pt idx="35">
                  <c:v>537.93539999999996</c:v>
                </c:pt>
                <c:pt idx="36">
                  <c:v>536.68650000000002</c:v>
                </c:pt>
                <c:pt idx="37">
                  <c:v>559.09849999999994</c:v>
                </c:pt>
                <c:pt idx="40">
                  <c:v>561.78110000000004</c:v>
                </c:pt>
                <c:pt idx="41">
                  <c:v>520.77030000000002</c:v>
                </c:pt>
                <c:pt idx="44">
                  <c:v>533.26189999999997</c:v>
                </c:pt>
                <c:pt idx="45">
                  <c:v>536.08219999999994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0-4F42-A448-89DE1F482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976624"/>
        <c:axId val="1688967984"/>
      </c:scatterChart>
      <c:valAx>
        <c:axId val="16889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67984"/>
        <c:crosses val="autoZero"/>
        <c:crossBetween val="midCat"/>
      </c:valAx>
      <c:valAx>
        <c:axId val="16889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7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10</xdr:row>
      <xdr:rowOff>122463</xdr:rowOff>
    </xdr:from>
    <xdr:to>
      <xdr:col>11</xdr:col>
      <xdr:colOff>421821</xdr:colOff>
      <xdr:row>22</xdr:row>
      <xdr:rowOff>166686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D62A9-696F-7615-B000-25954ECD2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376237</xdr:colOff>
      <xdr:row>25</xdr:row>
      <xdr:rowOff>81643</xdr:rowOff>
    </xdr:from>
    <xdr:to>
      <xdr:col>11</xdr:col>
      <xdr:colOff>231321</xdr:colOff>
      <xdr:row>38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635F7-9D54-63BB-CD1E-7497F6C22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595312</xdr:colOff>
      <xdr:row>10</xdr:row>
      <xdr:rowOff>14287</xdr:rowOff>
    </xdr:from>
    <xdr:to>
      <xdr:col>29</xdr:col>
      <xdr:colOff>290512</xdr:colOff>
      <xdr:row>24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D613E7-254A-314B-3FBB-16C82AF9C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557212</xdr:colOff>
      <xdr:row>25</xdr:row>
      <xdr:rowOff>100012</xdr:rowOff>
    </xdr:from>
    <xdr:to>
      <xdr:col>29</xdr:col>
      <xdr:colOff>252412</xdr:colOff>
      <xdr:row>39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60844C-C00B-2D40-7EA9-C35F5DEA0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9525</xdr:colOff>
      <xdr:row>40</xdr:row>
      <xdr:rowOff>166687</xdr:rowOff>
    </xdr:from>
    <xdr:to>
      <xdr:col>29</xdr:col>
      <xdr:colOff>314325</xdr:colOff>
      <xdr:row>55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D796DA-35E4-D288-8134-FE862CE71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FF4D0-6CF5-4EF9-BDDD-317B9A11CA5A}" name="Table1" displayName="Table1" ref="A2:B48" totalsRowShown="0">
  <autoFilter ref="A2:B48" xr:uid="{751FF4D0-6CF5-4EF9-BDDD-317B9A11CA5A}"/>
  <tableColumns count="2">
    <tableColumn id="1" xr3:uid="{9AAFBA43-2E56-4F1A-8488-2ADEEA1030BE}" name="time_s"/>
    <tableColumn id="3" xr3:uid="{2559DADB-F219-4077-AAA7-D803799769B1}" name="weight_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5B80B-455A-40FE-8248-A08E3B179D56}" name="Table2" displayName="Table2" ref="D2:E48" totalsRowShown="0">
  <autoFilter ref="D2:E48" xr:uid="{B815B80B-455A-40FE-8248-A08E3B179D56}"/>
  <tableColumns count="2">
    <tableColumn id="1" xr3:uid="{54ED06B9-D606-41A3-A145-71CB3444386B}" name="time_s"/>
    <tableColumn id="3" xr3:uid="{D8EDE6AD-EFD5-4577-BAAA-DB6660D0EBF4}" name="weight_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45C55-F7A4-4CA0-B37B-3D086A603D66}" name="Table14" displayName="Table14" ref="N2:O49" totalsRowCount="1">
  <autoFilter ref="N2:O48" xr:uid="{8D545C55-F7A4-4CA0-B37B-3D086A603D66}"/>
  <tableColumns count="2">
    <tableColumn id="1" xr3:uid="{7AAA50D6-D08C-4FB5-9D00-034A2A9CFA9C}" name="time_s" totalsRowLabel="std"/>
    <tableColumn id="3" xr3:uid="{7AC38CAF-3C8A-442C-8DF4-BC04E9B68227}" name="weight_g" totalsRowFunction="stdDe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6B6F25-7CD3-45F2-8113-F262DE79D066}" name="Table25" displayName="Table25" ref="Q2:R49" totalsRowCount="1">
  <autoFilter ref="Q2:R48" xr:uid="{A66B6F25-7CD3-45F2-8113-F262DE79D066}"/>
  <tableColumns count="2">
    <tableColumn id="1" xr3:uid="{8B62B987-FB67-4DFB-BA98-5ADAE46330B6}" name="time_s" totalsRowLabel="std"/>
    <tableColumn id="3" xr3:uid="{8D1DA0F9-58FD-4B3C-B6EA-E66CA61CE325}" name="weight_g" totalsRowFunction="stdDe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499886-775D-4B8D-B84E-6D97F1D78A1C}" name="Table5" displayName="Table5" ref="T2:U48" totalsRowShown="0">
  <autoFilter ref="T2:U48" xr:uid="{B9499886-775D-4B8D-B84E-6D97F1D78A1C}"/>
  <tableColumns count="2">
    <tableColumn id="1" xr3:uid="{075D728F-5A6E-43F2-A1FC-BDCA52081424}" name="time_s"/>
    <tableColumn id="2" xr3:uid="{0802BDA3-7BA9-424C-BE29-CBF2C7D27C2E}" name="weight_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topLeftCell="O25" zoomScale="115" zoomScaleNormal="115" workbookViewId="0">
      <selection activeCell="AL30" sqref="AL30"/>
    </sheetView>
  </sheetViews>
  <sheetFormatPr defaultRowHeight="15" x14ac:dyDescent="0.25"/>
  <cols>
    <col min="2" max="2" width="11.28515625" customWidth="1"/>
    <col min="5" max="5" width="11.28515625" customWidth="1"/>
    <col min="21" max="21" width="11.28515625" customWidth="1"/>
  </cols>
  <sheetData>
    <row r="1" spans="1:21" x14ac:dyDescent="0.25">
      <c r="A1" t="s">
        <v>5</v>
      </c>
      <c r="D1" t="s">
        <v>2</v>
      </c>
      <c r="L1" s="1" t="s">
        <v>3</v>
      </c>
      <c r="N1" t="s">
        <v>5</v>
      </c>
      <c r="Q1" t="s">
        <v>2</v>
      </c>
    </row>
    <row r="2" spans="1:21" x14ac:dyDescent="0.25">
      <c r="A2" t="s">
        <v>0</v>
      </c>
      <c r="B2" t="s">
        <v>1</v>
      </c>
      <c r="D2" t="s">
        <v>0</v>
      </c>
      <c r="E2" t="s">
        <v>1</v>
      </c>
      <c r="N2" t="s">
        <v>0</v>
      </c>
      <c r="O2" t="s">
        <v>1</v>
      </c>
      <c r="Q2" t="s">
        <v>0</v>
      </c>
      <c r="R2" t="s">
        <v>1</v>
      </c>
      <c r="T2" t="s">
        <v>0</v>
      </c>
      <c r="U2" t="s">
        <v>1</v>
      </c>
    </row>
    <row r="3" spans="1:21" x14ac:dyDescent="0.25">
      <c r="A3">
        <v>546.16800000000001</v>
      </c>
      <c r="B3">
        <v>-2.6650999999999998</v>
      </c>
      <c r="D3">
        <v>167.499</v>
      </c>
      <c r="E3">
        <v>4.7285000000000004</v>
      </c>
      <c r="N3">
        <v>546.16800000000001</v>
      </c>
      <c r="O3">
        <v>-2.6650999999999998</v>
      </c>
      <c r="Q3">
        <v>167.499</v>
      </c>
      <c r="R3">
        <v>4.7285000000000004</v>
      </c>
      <c r="T3">
        <v>259.31700000000001</v>
      </c>
      <c r="U3">
        <v>551.89070000000004</v>
      </c>
    </row>
    <row r="4" spans="1:21" x14ac:dyDescent="0.25">
      <c r="A4">
        <v>546.60500000000002</v>
      </c>
      <c r="B4">
        <v>-2.633</v>
      </c>
      <c r="D4">
        <v>167.93700000000001</v>
      </c>
      <c r="E4">
        <v>4.8417000000000003</v>
      </c>
      <c r="N4">
        <v>546.60500000000002</v>
      </c>
      <c r="O4">
        <v>-2.633</v>
      </c>
      <c r="Q4">
        <v>167.93700000000001</v>
      </c>
      <c r="R4">
        <v>4.8417000000000003</v>
      </c>
      <c r="T4">
        <v>259.75400000000002</v>
      </c>
      <c r="U4">
        <v>554.2328</v>
      </c>
    </row>
    <row r="5" spans="1:21" x14ac:dyDescent="0.25">
      <c r="A5">
        <v>547.04300000000001</v>
      </c>
      <c r="B5">
        <v>-2.6034999999999999</v>
      </c>
      <c r="D5">
        <v>168.374</v>
      </c>
      <c r="E5">
        <v>4.8010000000000002</v>
      </c>
      <c r="N5">
        <v>547.04300000000001</v>
      </c>
      <c r="O5">
        <v>-2.6034999999999999</v>
      </c>
      <c r="Q5">
        <v>168.374</v>
      </c>
      <c r="R5">
        <v>4.8010000000000002</v>
      </c>
      <c r="T5">
        <v>260.19099999999997</v>
      </c>
      <c r="U5">
        <v>553.22239999999999</v>
      </c>
    </row>
    <row r="6" spans="1:21" x14ac:dyDescent="0.25">
      <c r="A6">
        <v>547.48</v>
      </c>
      <c r="B6">
        <v>-2.6335000000000002</v>
      </c>
      <c r="D6">
        <v>168.81100000000001</v>
      </c>
      <c r="E6">
        <v>4.82</v>
      </c>
      <c r="N6">
        <v>547.48</v>
      </c>
      <c r="O6">
        <v>-2.6335000000000002</v>
      </c>
      <c r="Q6">
        <v>168.81100000000001</v>
      </c>
      <c r="R6">
        <v>4.82</v>
      </c>
      <c r="T6">
        <v>260.62900000000002</v>
      </c>
      <c r="U6">
        <v>551.29470000000003</v>
      </c>
    </row>
    <row r="7" spans="1:21" x14ac:dyDescent="0.25">
      <c r="A7">
        <v>547.91800000000001</v>
      </c>
      <c r="B7">
        <v>-2.6194999999999999</v>
      </c>
      <c r="D7">
        <v>169.24799999999999</v>
      </c>
      <c r="E7">
        <v>4.6087999999999996</v>
      </c>
      <c r="N7">
        <v>547.91800000000001</v>
      </c>
      <c r="O7">
        <v>-2.6194999999999999</v>
      </c>
      <c r="Q7">
        <v>169.24799999999999</v>
      </c>
      <c r="R7">
        <v>4.6087999999999996</v>
      </c>
      <c r="T7">
        <v>261.06599999999997</v>
      </c>
      <c r="U7">
        <v>552.80330000000004</v>
      </c>
    </row>
    <row r="8" spans="1:21" x14ac:dyDescent="0.25">
      <c r="A8">
        <v>548.35500000000002</v>
      </c>
      <c r="B8">
        <v>-2.6223999999999998</v>
      </c>
      <c r="D8">
        <v>169.685</v>
      </c>
      <c r="E8">
        <v>4.6558999999999999</v>
      </c>
      <c r="N8">
        <v>548.35500000000002</v>
      </c>
      <c r="O8">
        <v>-2.6223999999999998</v>
      </c>
      <c r="Q8">
        <v>169.685</v>
      </c>
      <c r="R8">
        <v>4.6558999999999999</v>
      </c>
      <c r="T8">
        <v>261.50299999999999</v>
      </c>
      <c r="U8">
        <v>552.73069999999996</v>
      </c>
    </row>
    <row r="9" spans="1:21" x14ac:dyDescent="0.25">
      <c r="A9">
        <v>548.79200000000003</v>
      </c>
      <c r="B9">
        <v>-2.5939999999999999</v>
      </c>
      <c r="D9">
        <v>170.12200000000001</v>
      </c>
      <c r="E9">
        <v>4.8509000000000002</v>
      </c>
      <c r="N9">
        <v>548.79200000000003</v>
      </c>
      <c r="O9">
        <v>-2.5939999999999999</v>
      </c>
      <c r="Q9">
        <v>170.12200000000001</v>
      </c>
      <c r="R9">
        <v>4.8509000000000002</v>
      </c>
      <c r="T9">
        <v>261.94</v>
      </c>
      <c r="U9">
        <v>551.23140000000001</v>
      </c>
    </row>
    <row r="10" spans="1:21" x14ac:dyDescent="0.25">
      <c r="A10">
        <v>549.23</v>
      </c>
      <c r="B10">
        <v>-2.6301999999999999</v>
      </c>
      <c r="D10">
        <v>170.56</v>
      </c>
      <c r="E10">
        <v>4.6753</v>
      </c>
      <c r="N10">
        <v>549.23</v>
      </c>
      <c r="O10">
        <v>-2.6301999999999999</v>
      </c>
      <c r="Q10">
        <v>170.56</v>
      </c>
      <c r="R10">
        <v>4.6753</v>
      </c>
      <c r="T10">
        <v>262.37799999999999</v>
      </c>
      <c r="U10">
        <v>552.11530000000005</v>
      </c>
    </row>
    <row r="11" spans="1:21" x14ac:dyDescent="0.25">
      <c r="A11">
        <v>549.66700000000003</v>
      </c>
      <c r="B11">
        <v>-2.6109</v>
      </c>
      <c r="D11">
        <v>170.99700000000001</v>
      </c>
      <c r="E11">
        <v>4.7058</v>
      </c>
      <c r="N11">
        <v>549.66700000000003</v>
      </c>
      <c r="O11">
        <v>-2.6109</v>
      </c>
      <c r="Q11">
        <v>170.99700000000001</v>
      </c>
      <c r="R11">
        <v>4.7058</v>
      </c>
      <c r="T11">
        <v>262.815</v>
      </c>
      <c r="U11">
        <v>553.07489999999996</v>
      </c>
    </row>
    <row r="12" spans="1:21" x14ac:dyDescent="0.25">
      <c r="A12">
        <v>550.10500000000002</v>
      </c>
      <c r="B12">
        <v>-2.6778</v>
      </c>
      <c r="D12">
        <v>171.434</v>
      </c>
      <c r="E12">
        <v>4.7062999999999997</v>
      </c>
      <c r="N12">
        <v>550.10500000000002</v>
      </c>
      <c r="O12">
        <v>-2.6778</v>
      </c>
      <c r="Q12">
        <v>171.434</v>
      </c>
      <c r="R12">
        <v>4.7062999999999997</v>
      </c>
      <c r="T12">
        <v>263.25200000000001</v>
      </c>
      <c r="U12">
        <v>551.45039999999995</v>
      </c>
    </row>
    <row r="13" spans="1:21" x14ac:dyDescent="0.25">
      <c r="A13">
        <v>550.54200000000003</v>
      </c>
      <c r="B13">
        <v>-2.6606000000000001</v>
      </c>
      <c r="D13">
        <v>171.87100000000001</v>
      </c>
      <c r="E13">
        <v>4.7908999999999997</v>
      </c>
      <c r="N13">
        <v>550.54200000000003</v>
      </c>
      <c r="O13">
        <v>-2.6606000000000001</v>
      </c>
      <c r="Q13">
        <v>171.87100000000001</v>
      </c>
      <c r="R13">
        <v>4.7908999999999997</v>
      </c>
      <c r="T13">
        <v>263.68900000000002</v>
      </c>
      <c r="U13">
        <v>550.90380000000005</v>
      </c>
    </row>
    <row r="14" spans="1:21" x14ac:dyDescent="0.25">
      <c r="A14">
        <v>550.98</v>
      </c>
      <c r="B14">
        <v>-2.6602000000000001</v>
      </c>
      <c r="D14">
        <v>172.309</v>
      </c>
      <c r="E14">
        <v>4.8925000000000001</v>
      </c>
      <c r="N14">
        <v>550.98</v>
      </c>
      <c r="O14">
        <v>-2.6602000000000001</v>
      </c>
      <c r="Q14">
        <v>172.309</v>
      </c>
      <c r="R14">
        <v>4.8925000000000001</v>
      </c>
    </row>
    <row r="15" spans="1:21" x14ac:dyDescent="0.25">
      <c r="A15">
        <v>551.41700000000003</v>
      </c>
      <c r="B15">
        <v>-2.7029000000000001</v>
      </c>
      <c r="D15">
        <v>172.74600000000001</v>
      </c>
      <c r="E15">
        <v>4.7122999999999999</v>
      </c>
      <c r="N15">
        <v>551.41700000000003</v>
      </c>
      <c r="O15">
        <v>-2.7029000000000001</v>
      </c>
      <c r="Q15">
        <v>172.74600000000001</v>
      </c>
      <c r="R15">
        <v>4.7122999999999999</v>
      </c>
      <c r="T15">
        <v>264.56400000000002</v>
      </c>
      <c r="U15">
        <v>568.96109999999999</v>
      </c>
    </row>
    <row r="16" spans="1:21" x14ac:dyDescent="0.25">
      <c r="A16">
        <v>551.85400000000004</v>
      </c>
      <c r="B16">
        <v>-2.0387</v>
      </c>
      <c r="D16">
        <v>173.18299999999999</v>
      </c>
      <c r="E16">
        <v>14.6983</v>
      </c>
      <c r="T16">
        <v>265.00099999999998</v>
      </c>
      <c r="U16">
        <v>559.04679999999996</v>
      </c>
    </row>
    <row r="17" spans="1:21" x14ac:dyDescent="0.25">
      <c r="A17">
        <v>552.29200000000003</v>
      </c>
      <c r="B17">
        <v>29.801300000000001</v>
      </c>
      <c r="D17">
        <v>173.62</v>
      </c>
      <c r="E17">
        <v>39.993400000000001</v>
      </c>
      <c r="T17">
        <v>265.43799999999999</v>
      </c>
      <c r="U17">
        <v>554.62509999999997</v>
      </c>
    </row>
    <row r="18" spans="1:21" x14ac:dyDescent="0.25">
      <c r="A18">
        <v>552.72900000000004</v>
      </c>
      <c r="B18">
        <v>129.09469999999999</v>
      </c>
      <c r="D18">
        <v>174.05699999999999</v>
      </c>
      <c r="E18">
        <v>5.9085000000000001</v>
      </c>
      <c r="Q18">
        <v>174.05699999999999</v>
      </c>
      <c r="R18">
        <v>5.9085000000000001</v>
      </c>
    </row>
    <row r="19" spans="1:21" x14ac:dyDescent="0.25">
      <c r="A19">
        <v>553.16700000000003</v>
      </c>
      <c r="B19">
        <v>-2.7702</v>
      </c>
      <c r="D19">
        <v>174.495</v>
      </c>
      <c r="E19">
        <v>5.6433</v>
      </c>
      <c r="N19">
        <v>553.16700000000003</v>
      </c>
      <c r="O19">
        <v>-2.7702</v>
      </c>
      <c r="Q19">
        <v>174.495</v>
      </c>
      <c r="R19">
        <v>5.6433</v>
      </c>
      <c r="T19">
        <v>266.31299999999999</v>
      </c>
      <c r="U19">
        <v>534.75559999999996</v>
      </c>
    </row>
    <row r="20" spans="1:21" x14ac:dyDescent="0.25">
      <c r="A20">
        <v>553.60400000000004</v>
      </c>
      <c r="B20">
        <v>-2.5623999999999998</v>
      </c>
      <c r="D20">
        <v>174.93199999999999</v>
      </c>
      <c r="E20">
        <v>5.4992000000000001</v>
      </c>
      <c r="N20">
        <v>553.60400000000004</v>
      </c>
      <c r="O20">
        <v>-2.5623999999999998</v>
      </c>
      <c r="Q20">
        <v>174.93199999999999</v>
      </c>
      <c r="R20">
        <v>5.4992000000000001</v>
      </c>
      <c r="T20">
        <v>266.75</v>
      </c>
      <c r="U20">
        <v>537.32370000000003</v>
      </c>
    </row>
    <row r="21" spans="1:21" x14ac:dyDescent="0.25">
      <c r="A21">
        <v>554.04100000000005</v>
      </c>
      <c r="B21">
        <v>-2.5234000000000001</v>
      </c>
      <c r="D21">
        <v>175.369</v>
      </c>
      <c r="E21">
        <v>5.3258999999999999</v>
      </c>
      <c r="N21">
        <v>554.04100000000005</v>
      </c>
      <c r="O21">
        <v>-2.5234000000000001</v>
      </c>
      <c r="Q21">
        <v>175.369</v>
      </c>
      <c r="R21">
        <v>5.3258999999999999</v>
      </c>
      <c r="T21">
        <v>267.18700000000001</v>
      </c>
      <c r="U21">
        <v>540.74639999999999</v>
      </c>
    </row>
    <row r="22" spans="1:21" x14ac:dyDescent="0.25">
      <c r="A22">
        <v>554.47900000000004</v>
      </c>
      <c r="B22">
        <v>-2.6202999999999999</v>
      </c>
      <c r="D22">
        <v>175.80600000000001</v>
      </c>
      <c r="E22">
        <v>5.4505999999999997</v>
      </c>
      <c r="N22">
        <v>554.47900000000004</v>
      </c>
      <c r="O22">
        <v>-2.6202999999999999</v>
      </c>
      <c r="Q22">
        <v>175.80600000000001</v>
      </c>
      <c r="R22">
        <v>5.4505999999999997</v>
      </c>
      <c r="T22">
        <v>267.62400000000002</v>
      </c>
      <c r="U22">
        <v>539.78440000000001</v>
      </c>
    </row>
    <row r="23" spans="1:21" x14ac:dyDescent="0.25">
      <c r="A23">
        <v>554.91600000000005</v>
      </c>
      <c r="B23">
        <v>-2.6255999999999999</v>
      </c>
      <c r="D23">
        <v>176.244</v>
      </c>
      <c r="E23">
        <v>5.5217999999999998</v>
      </c>
      <c r="N23">
        <v>554.91600000000005</v>
      </c>
      <c r="O23">
        <v>-2.6255999999999999</v>
      </c>
      <c r="Q23">
        <v>176.244</v>
      </c>
      <c r="R23">
        <v>5.5217999999999998</v>
      </c>
    </row>
    <row r="24" spans="1:21" x14ac:dyDescent="0.25">
      <c r="A24">
        <v>555.35400000000004</v>
      </c>
      <c r="B24">
        <v>-2.6055000000000001</v>
      </c>
      <c r="D24">
        <v>176.68100000000001</v>
      </c>
      <c r="E24">
        <v>-84.060599999999994</v>
      </c>
      <c r="N24">
        <v>555.35400000000004</v>
      </c>
      <c r="O24">
        <v>-2.6055000000000001</v>
      </c>
      <c r="T24">
        <v>268.49900000000002</v>
      </c>
      <c r="U24">
        <v>563.01009999999997</v>
      </c>
    </row>
    <row r="25" spans="1:21" x14ac:dyDescent="0.25">
      <c r="A25">
        <v>555.79100000000005</v>
      </c>
      <c r="B25">
        <v>-2.5093999999999999</v>
      </c>
      <c r="D25">
        <v>177.11799999999999</v>
      </c>
      <c r="E25">
        <v>-15.4694</v>
      </c>
      <c r="N25">
        <v>555.79100000000005</v>
      </c>
      <c r="O25">
        <v>-2.5093999999999999</v>
      </c>
      <c r="T25">
        <v>268.93599999999998</v>
      </c>
      <c r="U25">
        <v>560.95680000000004</v>
      </c>
    </row>
    <row r="26" spans="1:21" x14ac:dyDescent="0.25">
      <c r="A26">
        <v>556.22799999999995</v>
      </c>
      <c r="B26">
        <v>-2.5139</v>
      </c>
      <c r="D26">
        <v>177.55500000000001</v>
      </c>
      <c r="E26">
        <v>-9.3696000000000002</v>
      </c>
      <c r="N26">
        <v>556.22799999999995</v>
      </c>
      <c r="O26">
        <v>-2.5139</v>
      </c>
      <c r="Q26">
        <v>177.55500000000001</v>
      </c>
      <c r="R26">
        <v>-9.3696000000000002</v>
      </c>
      <c r="T26">
        <v>269.37299999999999</v>
      </c>
      <c r="U26">
        <v>528.0127</v>
      </c>
    </row>
    <row r="27" spans="1:21" x14ac:dyDescent="0.25">
      <c r="A27">
        <v>556.66600000000005</v>
      </c>
      <c r="B27">
        <v>-2.6396000000000002</v>
      </c>
      <c r="D27">
        <v>177.99199999999999</v>
      </c>
      <c r="E27">
        <v>-9.1205999999999996</v>
      </c>
      <c r="N27">
        <v>556.66600000000005</v>
      </c>
      <c r="O27">
        <v>-2.6396000000000002</v>
      </c>
      <c r="Q27">
        <v>177.99199999999999</v>
      </c>
      <c r="R27">
        <v>-9.1205999999999996</v>
      </c>
    </row>
    <row r="28" spans="1:21" x14ac:dyDescent="0.25">
      <c r="A28">
        <v>557.10299999999995</v>
      </c>
      <c r="B28">
        <v>-51.849699999999999</v>
      </c>
      <c r="D28">
        <v>178.43</v>
      </c>
      <c r="E28">
        <v>-9.0480999999999998</v>
      </c>
      <c r="Q28">
        <v>178.43</v>
      </c>
      <c r="R28">
        <v>-9.0480999999999998</v>
      </c>
      <c r="T28">
        <v>270.24799999999999</v>
      </c>
      <c r="U28">
        <v>530.96879999999999</v>
      </c>
    </row>
    <row r="29" spans="1:21" x14ac:dyDescent="0.25">
      <c r="A29">
        <v>557.54100000000005</v>
      </c>
      <c r="B29">
        <v>-236.51429999999999</v>
      </c>
      <c r="D29">
        <v>178.86699999999999</v>
      </c>
      <c r="E29">
        <v>-8.9741</v>
      </c>
      <c r="Q29">
        <v>178.86699999999999</v>
      </c>
      <c r="R29">
        <v>-8.9741</v>
      </c>
      <c r="T29">
        <v>270.685</v>
      </c>
      <c r="U29">
        <v>531.86739999999998</v>
      </c>
    </row>
    <row r="30" spans="1:21" x14ac:dyDescent="0.25">
      <c r="A30">
        <v>557.97799999999995</v>
      </c>
      <c r="B30">
        <v>-88.007900000000006</v>
      </c>
      <c r="D30">
        <v>179.304</v>
      </c>
      <c r="E30">
        <v>4.1601999999999997</v>
      </c>
    </row>
    <row r="31" spans="1:21" x14ac:dyDescent="0.25">
      <c r="A31">
        <v>558.41499999999996</v>
      </c>
      <c r="B31">
        <v>-2.6802999999999999</v>
      </c>
      <c r="D31">
        <v>179.74100000000001</v>
      </c>
      <c r="E31">
        <v>27.6265</v>
      </c>
      <c r="N31">
        <v>558.41499999999996</v>
      </c>
      <c r="O31">
        <v>-2.6802999999999999</v>
      </c>
    </row>
    <row r="32" spans="1:21" x14ac:dyDescent="0.25">
      <c r="A32">
        <v>558.85299999999995</v>
      </c>
      <c r="B32">
        <v>-2.7290999999999999</v>
      </c>
      <c r="D32">
        <v>180.179</v>
      </c>
      <c r="E32">
        <v>4.9298999999999999</v>
      </c>
      <c r="N32">
        <v>558.85299999999995</v>
      </c>
      <c r="O32">
        <v>-2.7290999999999999</v>
      </c>
      <c r="Q32">
        <v>180.179</v>
      </c>
      <c r="R32">
        <v>4.9298999999999999</v>
      </c>
      <c r="T32">
        <v>271.99700000000001</v>
      </c>
      <c r="U32">
        <v>568.59429999999998</v>
      </c>
    </row>
    <row r="33" spans="1:21" x14ac:dyDescent="0.25">
      <c r="A33">
        <v>559.29</v>
      </c>
      <c r="B33">
        <v>-2.7233999999999998</v>
      </c>
      <c r="D33">
        <v>180.61600000000001</v>
      </c>
      <c r="E33">
        <v>4.6692999999999998</v>
      </c>
      <c r="N33">
        <v>559.29</v>
      </c>
      <c r="O33">
        <v>-2.7233999999999998</v>
      </c>
      <c r="Q33">
        <v>180.61600000000001</v>
      </c>
      <c r="R33">
        <v>4.6692999999999998</v>
      </c>
      <c r="T33">
        <v>272.43400000000003</v>
      </c>
      <c r="U33">
        <v>564.37490000000003</v>
      </c>
    </row>
    <row r="34" spans="1:21" x14ac:dyDescent="0.25">
      <c r="A34">
        <v>559.72799999999995</v>
      </c>
      <c r="B34">
        <v>-2.7887</v>
      </c>
      <c r="D34">
        <v>181.053</v>
      </c>
      <c r="E34">
        <v>4.6402000000000001</v>
      </c>
      <c r="N34">
        <v>559.72799999999995</v>
      </c>
      <c r="O34">
        <v>-2.7887</v>
      </c>
      <c r="Q34">
        <v>181.053</v>
      </c>
      <c r="R34">
        <v>4.6402000000000001</v>
      </c>
    </row>
    <row r="35" spans="1:21" x14ac:dyDescent="0.25">
      <c r="A35">
        <v>560.16499999999996</v>
      </c>
      <c r="B35">
        <v>-2.7793000000000001</v>
      </c>
      <c r="D35">
        <v>181.49</v>
      </c>
      <c r="E35">
        <v>4.6028000000000002</v>
      </c>
      <c r="N35">
        <v>560.16499999999996</v>
      </c>
      <c r="O35">
        <v>-2.7793000000000001</v>
      </c>
      <c r="Q35">
        <v>181.49</v>
      </c>
      <c r="R35">
        <v>4.6028000000000002</v>
      </c>
    </row>
    <row r="36" spans="1:21" x14ac:dyDescent="0.25">
      <c r="A36">
        <v>560.60199999999998</v>
      </c>
      <c r="B36">
        <v>-2.7656999999999998</v>
      </c>
      <c r="D36">
        <v>181.92699999999999</v>
      </c>
      <c r="E36">
        <v>4.6111000000000004</v>
      </c>
      <c r="N36">
        <v>560.60199999999998</v>
      </c>
      <c r="O36">
        <v>-2.7656999999999998</v>
      </c>
      <c r="Q36">
        <v>181.92699999999999</v>
      </c>
      <c r="R36">
        <v>4.6111000000000004</v>
      </c>
      <c r="T36">
        <v>273.745</v>
      </c>
      <c r="U36">
        <v>535.63490000000002</v>
      </c>
    </row>
    <row r="37" spans="1:21" x14ac:dyDescent="0.25">
      <c r="A37">
        <v>561.04</v>
      </c>
      <c r="B37">
        <v>-2.7423000000000002</v>
      </c>
      <c r="D37">
        <v>182.36500000000001</v>
      </c>
      <c r="E37">
        <v>4.6304999999999996</v>
      </c>
      <c r="N37">
        <v>561.04</v>
      </c>
      <c r="O37">
        <v>-2.7423000000000002</v>
      </c>
      <c r="Q37">
        <v>182.36500000000001</v>
      </c>
      <c r="R37">
        <v>4.6304999999999996</v>
      </c>
      <c r="T37">
        <v>274.18299999999999</v>
      </c>
      <c r="U37">
        <v>536.75120000000004</v>
      </c>
    </row>
    <row r="38" spans="1:21" x14ac:dyDescent="0.25">
      <c r="A38">
        <v>561.47699999999998</v>
      </c>
      <c r="B38">
        <v>-2.7012</v>
      </c>
      <c r="D38">
        <v>182.80199999999999</v>
      </c>
      <c r="E38">
        <v>-21.007400000000001</v>
      </c>
      <c r="N38">
        <v>561.47699999999998</v>
      </c>
      <c r="O38">
        <v>-2.7012</v>
      </c>
      <c r="T38">
        <v>274.62</v>
      </c>
      <c r="U38">
        <v>537.93539999999996</v>
      </c>
    </row>
    <row r="39" spans="1:21" x14ac:dyDescent="0.25">
      <c r="A39">
        <v>561.91499999999996</v>
      </c>
      <c r="B39">
        <v>-2.8105000000000002</v>
      </c>
      <c r="D39">
        <v>183.239</v>
      </c>
      <c r="E39">
        <v>-14.7805</v>
      </c>
      <c r="N39">
        <v>561.91499999999996</v>
      </c>
      <c r="O39">
        <v>-2.8105000000000002</v>
      </c>
      <c r="T39">
        <v>275.05700000000002</v>
      </c>
      <c r="U39">
        <v>536.68650000000002</v>
      </c>
    </row>
    <row r="40" spans="1:21" x14ac:dyDescent="0.25">
      <c r="A40">
        <v>562.35199999999998</v>
      </c>
      <c r="B40">
        <v>34.157299999999999</v>
      </c>
      <c r="D40">
        <v>183.67599999999999</v>
      </c>
      <c r="E40">
        <v>-8.6654999999999998</v>
      </c>
      <c r="Q40">
        <v>183.67599999999999</v>
      </c>
      <c r="R40">
        <v>-8.6654999999999998</v>
      </c>
      <c r="T40">
        <v>275.49400000000003</v>
      </c>
      <c r="U40">
        <v>559.09849999999994</v>
      </c>
    </row>
    <row r="41" spans="1:21" x14ac:dyDescent="0.25">
      <c r="A41">
        <v>562.78899999999999</v>
      </c>
      <c r="B41">
        <v>342.96870000000001</v>
      </c>
      <c r="D41">
        <v>184.114</v>
      </c>
      <c r="E41">
        <v>-8.4298999999999999</v>
      </c>
      <c r="Q41">
        <v>184.114</v>
      </c>
      <c r="R41">
        <v>-8.4298999999999999</v>
      </c>
    </row>
    <row r="42" spans="1:21" x14ac:dyDescent="0.25">
      <c r="A42">
        <v>563.22699999999998</v>
      </c>
      <c r="B42">
        <v>258.96600000000001</v>
      </c>
      <c r="D42">
        <v>184.55099999999999</v>
      </c>
      <c r="E42">
        <v>-8.2302999999999997</v>
      </c>
      <c r="Q42">
        <v>184.55099999999999</v>
      </c>
      <c r="R42">
        <v>-8.2302999999999997</v>
      </c>
    </row>
    <row r="43" spans="1:21" x14ac:dyDescent="0.25">
      <c r="A43">
        <v>563.66399999999999</v>
      </c>
      <c r="B43">
        <v>-2.1861999999999999</v>
      </c>
      <c r="D43">
        <v>184.988</v>
      </c>
      <c r="E43">
        <v>7.4798999999999998</v>
      </c>
      <c r="N43">
        <v>563.66399999999999</v>
      </c>
      <c r="O43">
        <v>-2.1861999999999999</v>
      </c>
      <c r="T43">
        <v>276.80599999999998</v>
      </c>
      <c r="U43">
        <v>561.78110000000004</v>
      </c>
    </row>
    <row r="44" spans="1:21" x14ac:dyDescent="0.25">
      <c r="A44">
        <v>564.10199999999998</v>
      </c>
      <c r="B44">
        <v>-2.2326000000000001</v>
      </c>
      <c r="D44">
        <v>185.42500000000001</v>
      </c>
      <c r="E44">
        <v>26.696899999999999</v>
      </c>
      <c r="N44">
        <v>564.10199999999998</v>
      </c>
      <c r="O44">
        <v>-2.2326000000000001</v>
      </c>
      <c r="T44">
        <v>277.24299999999999</v>
      </c>
      <c r="U44">
        <v>520.77030000000002</v>
      </c>
    </row>
    <row r="45" spans="1:21" x14ac:dyDescent="0.25">
      <c r="A45">
        <v>564.53899999999999</v>
      </c>
      <c r="B45">
        <v>-2.2789999999999999</v>
      </c>
      <c r="D45">
        <v>185.86199999999999</v>
      </c>
      <c r="E45">
        <v>5.2634999999999996</v>
      </c>
      <c r="N45">
        <v>564.53899999999999</v>
      </c>
      <c r="O45">
        <v>-2.2789999999999999</v>
      </c>
      <c r="Q45">
        <v>185.86199999999999</v>
      </c>
      <c r="R45">
        <v>5.2634999999999996</v>
      </c>
    </row>
    <row r="46" spans="1:21" x14ac:dyDescent="0.25">
      <c r="A46">
        <v>564.976</v>
      </c>
      <c r="B46">
        <v>-2.2425000000000002</v>
      </c>
      <c r="D46">
        <v>186.3</v>
      </c>
      <c r="E46">
        <v>5.1143000000000001</v>
      </c>
      <c r="N46">
        <v>564.976</v>
      </c>
      <c r="O46">
        <v>-2.2425000000000002</v>
      </c>
      <c r="Q46">
        <v>186.3</v>
      </c>
      <c r="R46">
        <v>5.1143000000000001</v>
      </c>
    </row>
    <row r="47" spans="1:21" x14ac:dyDescent="0.25">
      <c r="A47">
        <v>565.41399999999999</v>
      </c>
      <c r="B47">
        <v>-2.2740999999999998</v>
      </c>
      <c r="D47">
        <v>186.73699999999999</v>
      </c>
      <c r="E47">
        <v>5.0270000000000001</v>
      </c>
      <c r="N47">
        <v>565.41399999999999</v>
      </c>
      <c r="O47">
        <v>-2.2740999999999998</v>
      </c>
      <c r="Q47">
        <v>186.73699999999999</v>
      </c>
      <c r="R47">
        <v>5.0270000000000001</v>
      </c>
      <c r="T47">
        <v>278.55500000000001</v>
      </c>
      <c r="U47">
        <v>533.26189999999997</v>
      </c>
    </row>
    <row r="48" spans="1:21" x14ac:dyDescent="0.25">
      <c r="A48">
        <v>565.851</v>
      </c>
      <c r="B48">
        <v>-4.3353999999999999</v>
      </c>
      <c r="D48">
        <v>187.17400000000001</v>
      </c>
      <c r="E48">
        <v>5.0888999999999998</v>
      </c>
      <c r="Q48">
        <v>187.17400000000001</v>
      </c>
      <c r="R48">
        <v>5.0888999999999998</v>
      </c>
      <c r="T48">
        <v>278.99200000000002</v>
      </c>
      <c r="U48">
        <v>536.08219999999994</v>
      </c>
    </row>
    <row r="49" spans="14:18" x14ac:dyDescent="0.25">
      <c r="N49" t="s">
        <v>4</v>
      </c>
      <c r="O49">
        <f>SUBTOTAL(107,Table14[weight_g])</f>
        <v>0.1637508876505688</v>
      </c>
      <c r="Q49" t="s">
        <v>4</v>
      </c>
      <c r="R49">
        <f>SUBTOTAL(107,Table25[weight_g])</f>
        <v>5.5470512334260969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2015-06-05T18:17:20Z</dcterms:created>
  <dcterms:modified xsi:type="dcterms:W3CDTF">2026-05-25T09:28:49Z</dcterms:modified>
</cp:coreProperties>
</file>